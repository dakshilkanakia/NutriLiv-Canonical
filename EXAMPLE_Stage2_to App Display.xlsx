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Final 251105/"/>
    </mc:Choice>
  </mc:AlternateContent>
  <xr:revisionPtr revIDLastSave="17" documentId="8_{861F657D-3F51-4211-BB50-93CB95DDD90D}" xr6:coauthVersionLast="47" xr6:coauthVersionMax="47" xr10:uidLastSave="{2E8CEA5B-987E-4E02-860B-821A43699F80}"/>
  <bookViews>
    <workbookView xWindow="28680" yWindow="-120" windowWidth="38640" windowHeight="21120" activeTab="2" xr2:uid="{00000000-000D-0000-FFFF-FFFF00000000}"/>
  </bookViews>
  <sheets>
    <sheet name="Original Recipe" sheetId="5" r:id="rId1"/>
    <sheet name="Stage2_Output" sheetId="1" r:id="rId2"/>
    <sheet name="US" sheetId="2" r:id="rId3"/>
    <sheet name="CA, AU, NZ" sheetId="7" r:id="rId4"/>
    <sheet name="Anything not US, CA, AU, NZ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" i="7" l="1"/>
  <c r="AG6" i="7"/>
  <c r="AK14" i="7"/>
  <c r="AA14" i="7"/>
  <c r="Z14" i="7"/>
  <c r="Y14" i="7"/>
  <c r="AG13" i="7"/>
  <c r="AK12" i="7"/>
  <c r="AA12" i="7"/>
  <c r="AG12" i="7" s="1"/>
  <c r="Z12" i="7"/>
  <c r="Y12" i="7"/>
  <c r="AK11" i="7"/>
  <c r="AA11" i="7" s="1"/>
  <c r="AG11" i="7" s="1"/>
  <c r="AK10" i="7"/>
  <c r="AA10" i="7"/>
  <c r="AG10" i="7" s="1"/>
  <c r="Z10" i="7"/>
  <c r="Y10" i="7"/>
  <c r="AG9" i="7"/>
  <c r="AK8" i="7"/>
  <c r="AA8" i="7"/>
  <c r="AG8" i="7" s="1"/>
  <c r="Z8" i="7"/>
  <c r="Y8" i="7"/>
  <c r="AG7" i="7"/>
  <c r="AK6" i="7"/>
  <c r="AA6" i="7" s="1"/>
  <c r="AK5" i="7"/>
  <c r="Y5" i="7" s="1"/>
  <c r="AA5" i="7"/>
  <c r="AG5" i="7" s="1"/>
  <c r="Z5" i="7"/>
  <c r="AK4" i="7"/>
  <c r="AA4" i="7"/>
  <c r="AG4" i="7" s="1"/>
  <c r="Z4" i="7"/>
  <c r="Y4" i="7"/>
  <c r="AG3" i="7"/>
  <c r="AG2" i="7"/>
  <c r="AG14" i="6"/>
  <c r="AG12" i="6"/>
  <c r="AG11" i="6"/>
  <c r="AG10" i="6"/>
  <c r="AG9" i="6"/>
  <c r="AG7" i="6"/>
  <c r="AG6" i="6"/>
  <c r="AG4" i="6"/>
  <c r="AK14" i="6"/>
  <c r="AA14" i="6"/>
  <c r="Z14" i="6"/>
  <c r="Y14" i="6"/>
  <c r="AG13" i="6"/>
  <c r="AK12" i="6"/>
  <c r="AA12" i="6"/>
  <c r="Z12" i="6"/>
  <c r="Y12" i="6"/>
  <c r="AK11" i="6"/>
  <c r="Z11" i="6" s="1"/>
  <c r="AA11" i="6"/>
  <c r="AK10" i="6"/>
  <c r="AA10" i="6"/>
  <c r="Z10" i="6"/>
  <c r="Y10" i="6"/>
  <c r="AK8" i="6"/>
  <c r="AA8" i="6"/>
  <c r="AG8" i="6" s="1"/>
  <c r="Z8" i="6"/>
  <c r="Y8" i="6"/>
  <c r="AK6" i="6"/>
  <c r="AA6" i="6" s="1"/>
  <c r="AK5" i="6"/>
  <c r="AA5" i="6"/>
  <c r="AG5" i="6" s="1"/>
  <c r="Z5" i="6"/>
  <c r="Y5" i="6"/>
  <c r="AK4" i="6"/>
  <c r="AA4" i="6"/>
  <c r="Z4" i="6"/>
  <c r="Y4" i="6"/>
  <c r="AG3" i="6"/>
  <c r="AG2" i="6"/>
  <c r="AK4" i="2"/>
  <c r="AK5" i="2"/>
  <c r="AK6" i="2"/>
  <c r="AK8" i="2"/>
  <c r="AK10" i="2"/>
  <c r="AK11" i="2"/>
  <c r="AA11" i="2" s="1"/>
  <c r="AG11" i="2" s="1"/>
  <c r="AK12" i="2"/>
  <c r="Z12" i="2" s="1"/>
  <c r="AK14" i="2"/>
  <c r="Y14" i="2" s="1"/>
  <c r="AG13" i="2"/>
  <c r="AG9" i="2"/>
  <c r="AG7" i="2"/>
  <c r="AD5" i="1"/>
  <c r="AA5" i="2"/>
  <c r="AG5" i="2" s="1"/>
  <c r="AG3" i="2"/>
  <c r="AG2" i="2"/>
  <c r="AA10" i="2"/>
  <c r="AG10" i="2" s="1"/>
  <c r="AA8" i="2"/>
  <c r="AG8" i="2" s="1"/>
  <c r="AA6" i="2"/>
  <c r="AG6" i="2" s="1"/>
  <c r="AA4" i="2"/>
  <c r="AG4" i="2" s="1"/>
  <c r="AD12" i="1"/>
  <c r="Y12" i="1" s="1"/>
  <c r="AD10" i="1"/>
  <c r="Z10" i="1" s="1"/>
  <c r="Y5" i="1"/>
  <c r="Y6" i="1"/>
  <c r="Y8" i="1"/>
  <c r="Y11" i="1"/>
  <c r="Y14" i="1"/>
  <c r="Y4" i="1"/>
  <c r="AD14" i="1"/>
  <c r="AA14" i="1" s="1"/>
  <c r="AD11" i="1"/>
  <c r="AD8" i="1"/>
  <c r="AA8" i="1" s="1"/>
  <c r="AD6" i="1"/>
  <c r="AA6" i="1" s="1"/>
  <c r="AA5" i="1"/>
  <c r="AA11" i="1"/>
  <c r="Z5" i="1"/>
  <c r="Z8" i="1"/>
  <c r="Z11" i="1"/>
  <c r="Z14" i="1"/>
  <c r="AD4" i="1"/>
  <c r="Z4" i="1" s="1"/>
  <c r="Z6" i="7" l="1"/>
  <c r="Y11" i="7"/>
  <c r="Y6" i="7"/>
  <c r="Z11" i="7"/>
  <c r="Y6" i="6"/>
  <c r="Z6" i="6"/>
  <c r="Y11" i="6"/>
  <c r="Y11" i="2"/>
  <c r="Y6" i="2"/>
  <c r="Y8" i="2"/>
  <c r="Z6" i="2"/>
  <c r="Y5" i="2"/>
  <c r="Y4" i="2"/>
  <c r="Z4" i="2"/>
  <c r="Y10" i="2"/>
  <c r="Z10" i="2"/>
  <c r="Z14" i="2"/>
  <c r="AA14" i="2"/>
  <c r="AG14" i="2" s="1"/>
  <c r="Z11" i="2"/>
  <c r="AA12" i="2"/>
  <c r="AG12" i="2" s="1"/>
  <c r="Z5" i="2"/>
  <c r="Z8" i="2"/>
  <c r="Y12" i="2"/>
  <c r="Z12" i="1"/>
  <c r="AA12" i="1"/>
  <c r="AA10" i="1"/>
  <c r="Y10" i="1"/>
  <c r="AA4" i="1"/>
  <c r="Z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Wilson</author>
  </authors>
  <commentList>
    <comment ref="AJ2" authorId="0" shapeId="0" xr:uid="{7B24EC28-DCFC-4089-ADE7-288ED353CA21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Mass preference ignored because the canonical unit is "ea"</t>
        </r>
      </text>
    </comment>
    <comment ref="AJ3" authorId="0" shapeId="0" xr:uid="{C1D2A8DC-A3B5-4A8B-9289-2433D596F40D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When displaying packaged items that have a canonical unit of ea, we need to display the package size in parantheses next to quantity. 
</t>
        </r>
      </text>
    </comment>
    <comment ref="AI5" authorId="0" shapeId="0" xr:uid="{82DDCE09-3278-49E9-9D80-E417548EBA2F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rule, if herb and spices are under 15 grams, display as tsp or tbsp</t>
        </r>
      </text>
    </comment>
    <comment ref="AI8" authorId="0" shapeId="0" xr:uid="{B737EEB6-325F-443D-A99D-D475EA423570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rule, if herb and spices are under 15 grams, display as tsp or tbsp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Wilson</author>
  </authors>
  <commentList>
    <comment ref="AJ2" authorId="0" shapeId="0" xr:uid="{81D22967-FD29-4ACF-B3A8-09A5B5A461A8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Mass preference ignored because the canonical unit is "ea"</t>
        </r>
      </text>
    </comment>
    <comment ref="AJ3" authorId="0" shapeId="0" xr:uid="{B67A0037-5342-40D0-9039-ED22EDF16141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When displaying packaged items that have a canonical unit of ea, we need to display the package size in parantheses next to quantity. 
</t>
        </r>
      </text>
    </comment>
    <comment ref="AI5" authorId="0" shapeId="0" xr:uid="{7D137966-BEA6-4E48-A8E3-3EE7A01A41EC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rule, if herb and spices are under 15 grams, display as tsp or tbsp</t>
        </r>
      </text>
    </comment>
    <comment ref="AI8" authorId="0" shapeId="0" xr:uid="{6A32DDB2-D7A6-4A85-9BAD-E6AAF351D700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rule, if herb and spices are under 15 grams, display as tsp or tbsp</t>
        </r>
      </text>
    </comment>
    <comment ref="AI9" authorId="0" shapeId="0" xr:uid="{9800CAB0-0A73-4183-A7C8-98446D6453B3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rules dictate this quantity is shown as L instead of mL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Wilson</author>
  </authors>
  <commentList>
    <comment ref="AJ2" authorId="0" shapeId="0" xr:uid="{0A5AEF04-0F32-4F88-8FC7-1E0541DBE1E3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Mass preference ignored because the canonical unit is "ea"</t>
        </r>
      </text>
    </comment>
    <comment ref="AJ3" authorId="0" shapeId="0" xr:uid="{3300C82F-4E34-4055-9CF1-053397054A88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When displaying packaged items that have a canonical unit of ea, we need to display the package size in parantheses next to quantity. 
</t>
        </r>
      </text>
    </comment>
    <comment ref="AI5" authorId="0" shapeId="0" xr:uid="{A685204E-6AB1-420F-B914-C7F768BCEEAF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rule, if herb and spices are under 15 grams, display as tsp or tbsp</t>
        </r>
      </text>
    </comment>
    <comment ref="AI8" authorId="0" shapeId="0" xr:uid="{F5F1CFAB-585F-4B16-A72B-2E8DFC1175AC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rule, if herb and spices are under 15 grams, display as tsp or tbsp</t>
        </r>
      </text>
    </comment>
    <comment ref="AI9" authorId="0" shapeId="0" xr:uid="{783A627A-EED1-4A95-93A4-C06D2882E12E}">
      <text>
        <r>
          <rPr>
            <b/>
            <sz val="9"/>
            <color indexed="81"/>
            <rFont val="Tahoma"/>
            <family val="2"/>
          </rPr>
          <t>Richard Wilson:</t>
        </r>
        <r>
          <rPr>
            <sz val="9"/>
            <color indexed="81"/>
            <rFont val="Tahoma"/>
            <family val="2"/>
          </rPr>
          <t xml:space="preserve">
Display rules dictate this quantity is shown as L instead of mL</t>
        </r>
      </text>
    </comment>
  </commentList>
</comments>
</file>

<file path=xl/sharedStrings.xml><?xml version="1.0" encoding="utf-8"?>
<sst xmlns="http://schemas.openxmlformats.org/spreadsheetml/2006/main" count="1382" uniqueCount="230">
  <si>
    <t>ingredient_line_number</t>
  </si>
  <si>
    <t>ingredient_original_text</t>
  </si>
  <si>
    <t>qty_value_original</t>
  </si>
  <si>
    <t>qty_min</t>
  </si>
  <si>
    <t>qty_max</t>
  </si>
  <si>
    <t>qty_is_range</t>
  </si>
  <si>
    <t>unit_original</t>
  </si>
  <si>
    <t>unit_enum</t>
  </si>
  <si>
    <t>original_dimension</t>
  </si>
  <si>
    <t>package_size_raw</t>
  </si>
  <si>
    <t>package_size_value</t>
  </si>
  <si>
    <t>package_size_unit</t>
  </si>
  <si>
    <t>package_size_SI_value</t>
  </si>
  <si>
    <t>package_size_SI_unit</t>
  </si>
  <si>
    <t>ingredient_id</t>
  </si>
  <si>
    <t>ingredient_canonical_name</t>
  </si>
  <si>
    <t>resolved_form_id</t>
  </si>
  <si>
    <t>default_form_id</t>
  </si>
  <si>
    <t>canonical_unit</t>
  </si>
  <si>
    <t>bridge_required</t>
  </si>
  <si>
    <t>density_id</t>
  </si>
  <si>
    <t>density_g_per_ml</t>
  </si>
  <si>
    <t>bridge_inputs_ready</t>
  </si>
  <si>
    <t>canonical_qty_min</t>
  </si>
  <si>
    <t>canonical_qty_max</t>
  </si>
  <si>
    <t>canonical_qty</t>
  </si>
  <si>
    <t>conversion_path</t>
  </si>
  <si>
    <t>EXMPL-CHILI-BOWL-001</t>
  </si>
  <si>
    <t>2 eggs</t>
  </si>
  <si>
    <t>2 (14-oz) cans diced tomatoes</t>
  </si>
  <si>
    <t>1 1/2 cups arugula, loosely packed</t>
  </si>
  <si>
    <t>3 tbsp cocoa powder</t>
  </si>
  <si>
    <t>1 cup brown sugar, packed</t>
  </si>
  <si>
    <t>200 g firm tofu</t>
  </si>
  <si>
    <t>1 tbsp ground cumin</t>
  </si>
  <si>
    <t>500 mL vegetable broth</t>
  </si>
  <si>
    <t>1 cup milk</t>
  </si>
  <si>
    <t>100 g olive oil</t>
  </si>
  <si>
    <t>2 tbsp olive oil</t>
  </si>
  <si>
    <t>1 lemon</t>
  </si>
  <si>
    <t>1 cup walnuts, chopped</t>
  </si>
  <si>
    <t>2</t>
  </si>
  <si>
    <t>1</t>
  </si>
  <si>
    <t>3</t>
  </si>
  <si>
    <t>200</t>
  </si>
  <si>
    <t>500</t>
  </si>
  <si>
    <t>100</t>
  </si>
  <si>
    <t>eggs</t>
  </si>
  <si>
    <t>tbsp</t>
  </si>
  <si>
    <t>cup</t>
  </si>
  <si>
    <t>g</t>
  </si>
  <si>
    <t>mL</t>
  </si>
  <si>
    <t>EGG</t>
  </si>
  <si>
    <t>TBSP</t>
  </si>
  <si>
    <t>CUP</t>
  </si>
  <si>
    <t>G</t>
  </si>
  <si>
    <t>ML</t>
  </si>
  <si>
    <t>count</t>
  </si>
  <si>
    <t>volume</t>
  </si>
  <si>
    <t>mass</t>
  </si>
  <si>
    <t>14-oz</t>
  </si>
  <si>
    <t>INGR_00144</t>
  </si>
  <si>
    <t>INGR_00004</t>
  </si>
  <si>
    <t>INGR_00262</t>
  </si>
  <si>
    <t>INGR_00260</t>
  </si>
  <si>
    <t>INGR_00330</t>
  </si>
  <si>
    <t>INGR_00187</t>
  </si>
  <si>
    <t>INGR_00128</t>
  </si>
  <si>
    <t>INGR_00219</t>
  </si>
  <si>
    <t>INGR_00048</t>
  </si>
  <si>
    <t>INGR_00177</t>
  </si>
  <si>
    <t>Eggs</t>
  </si>
  <si>
    <t>Arugula</t>
  </si>
  <si>
    <t>Cocoa powder</t>
  </si>
  <si>
    <t>Brown sugar</t>
  </si>
  <si>
    <t>Tofu (firm)</t>
  </si>
  <si>
    <t>Cumin</t>
  </si>
  <si>
    <t>Milk</t>
  </si>
  <si>
    <t>Olive oil</t>
  </si>
  <si>
    <t>Lemon</t>
  </si>
  <si>
    <t>Walnuts</t>
  </si>
  <si>
    <t>FORM_WHOLE</t>
  </si>
  <si>
    <t>FORM_POWDER</t>
  </si>
  <si>
    <t>FORM_PACKED</t>
  </si>
  <si>
    <t>FORM_GROUND</t>
  </si>
  <si>
    <t>FORM_LIQUID</t>
  </si>
  <si>
    <t>ea</t>
  </si>
  <si>
    <t>none</t>
  </si>
  <si>
    <t xml:space="preserve">*  </t>
  </si>
  <si>
    <t>cups</t>
  </si>
  <si>
    <t>cans</t>
  </si>
  <si>
    <t>CAN</t>
  </si>
  <si>
    <t>EA</t>
  </si>
  <si>
    <t>Vegetable broth (canned)</t>
  </si>
  <si>
    <t>FORM_CANNED</t>
  </si>
  <si>
    <t xml:space="preserve">vol→mass </t>
  </si>
  <si>
    <t>DENS_00008</t>
  </si>
  <si>
    <t>DENS_00217</t>
  </si>
  <si>
    <t>DENS_00215</t>
  </si>
  <si>
    <t>mass→vol</t>
  </si>
  <si>
    <t>DENS_00929</t>
  </si>
  <si>
    <t>DENS_00930</t>
  </si>
  <si>
    <t xml:space="preserve">Click to see equation used for canonical quantity calculation </t>
  </si>
  <si>
    <t>DENS_00190</t>
  </si>
  <si>
    <t>vol→mass via density</t>
  </si>
  <si>
    <t>mass→mass</t>
  </si>
  <si>
    <t>vol→vol</t>
  </si>
  <si>
    <t>mass→vol via density</t>
  </si>
  <si>
    <t>Servings</t>
  </si>
  <si>
    <t>Country</t>
  </si>
  <si>
    <t>Display Unit</t>
  </si>
  <si>
    <t>Default Display Rule</t>
  </si>
  <si>
    <t>Local overrides (if applicable)</t>
  </si>
  <si>
    <t>NutriLiv Pantry Chili &amp; Greens Bowl</t>
  </si>
  <si>
    <t>American</t>
  </si>
  <si>
    <t>Balanced</t>
  </si>
  <si>
    <t>Whisk eggs; sauté cumin in olive oil; add tomatoes and broth; simmer; fold in cocoa and sugar; finish with tofu, arugula, and milk; serve with lemon.</t>
  </si>
  <si>
    <t>2 eggs
2 (14-oz) cans diced tomatoes
1 1/2 cups arugula, loosely packed
3 tbsp cocoa powder
1 cup brown sugar, packed
200 g firm tofu
1 tbsp ground cumin
500 mL vegetable broth
1 cup milk
100 g olive oil
2 tbsp olive oil
1 lemon
1 cup walnuts, chopped</t>
  </si>
  <si>
    <t>Image File Name</t>
  </si>
  <si>
    <t>Fats (g per serving)</t>
  </si>
  <si>
    <t>Carbohydrates (g per serving)</t>
  </si>
  <si>
    <t>Protein (g per serving)</t>
  </si>
  <si>
    <t>Calories (per serving)</t>
  </si>
  <si>
    <t>Yield</t>
  </si>
  <si>
    <t>Main or Side</t>
  </si>
  <si>
    <t>Prep Time</t>
  </si>
  <si>
    <t>Cuisine</t>
  </si>
  <si>
    <t>Meal Types</t>
  </si>
  <si>
    <t>Diet Plan</t>
  </si>
  <si>
    <t>Cooking instructions</t>
  </si>
  <si>
    <t>Ingredients list</t>
  </si>
  <si>
    <t>Recipe Title</t>
  </si>
  <si>
    <t>Recipe ID</t>
  </si>
  <si>
    <t>US</t>
  </si>
  <si>
    <t>prefer_mass</t>
  </si>
  <si>
    <t>{"en-US":"prefer_volume","en-CA":"prefer_volume","en-AU":"prefer_volume","en-NZ":"prefer_volume"}</t>
  </si>
  <si>
    <t>prefer_volume</t>
  </si>
  <si>
    <t>INGR_01596</t>
  </si>
  <si>
    <t>INGR_00235</t>
  </si>
  <si>
    <t>Canned tomatoes (diced)</t>
  </si>
  <si>
    <t>Exact calculated quantity
Click to see equation used to calculate precise quantity after adjusting for servings</t>
  </si>
  <si>
    <t>Display Quantity after applying rounding rules</t>
  </si>
  <si>
    <t>from_unit</t>
  </si>
  <si>
    <t>to_unit</t>
  </si>
  <si>
    <t>factor</t>
  </si>
  <si>
    <t>dimension</t>
  </si>
  <si>
    <t>notes_internal</t>
  </si>
  <si>
    <t>SI base unit; exact</t>
  </si>
  <si>
    <t>kg</t>
  </si>
  <si>
    <t>SI; exact</t>
  </si>
  <si>
    <t>mg</t>
  </si>
  <si>
    <t>oz_av</t>
  </si>
  <si>
    <t>US customary avoirdupois ounce; exact by definition</t>
  </si>
  <si>
    <t>lb_av</t>
  </si>
  <si>
    <t>US customary avoirdupois pound; exact by definition</t>
  </si>
  <si>
    <t>stone_uk</t>
  </si>
  <si>
    <t>Imperial stone (14 lb av); exact by definition</t>
  </si>
  <si>
    <t>L</t>
  </si>
  <si>
    <t>tsp_us</t>
  </si>
  <si>
    <t>US teaspoon; exact</t>
  </si>
  <si>
    <t>tbsp_us</t>
  </si>
  <si>
    <t>US tablespoon; exact</t>
  </si>
  <si>
    <t>floz_us</t>
  </si>
  <si>
    <t>US fluid ounce; exact</t>
  </si>
  <si>
    <t>cup_us_customary</t>
  </si>
  <si>
    <t>US customary cup (8 US fl oz); exact</t>
  </si>
  <si>
    <t>cup_us_legal</t>
  </si>
  <si>
    <t>US legal/nutrition cup; exact</t>
  </si>
  <si>
    <t>pt_us_liq</t>
  </si>
  <si>
    <t>US liquid pint; exact</t>
  </si>
  <si>
    <t>qt_us_liq</t>
  </si>
  <si>
    <t>US liquid quart; exact</t>
  </si>
  <si>
    <t>gal_us</t>
  </si>
  <si>
    <t>US liquid gallon; exact</t>
  </si>
  <si>
    <t>pt_us_dry</t>
  </si>
  <si>
    <t>US dry pint; exact</t>
  </si>
  <si>
    <t>qt_us_dry</t>
  </si>
  <si>
    <t>US dry quart; exact</t>
  </si>
  <si>
    <t>floz_imp</t>
  </si>
  <si>
    <t>Imperial fluid ounce; exact</t>
  </si>
  <si>
    <t>pt_imp</t>
  </si>
  <si>
    <t>Imperial pint; exact</t>
  </si>
  <si>
    <t>qt_imp</t>
  </si>
  <si>
    <t>Imperial quart; exact</t>
  </si>
  <si>
    <t>gal_imp</t>
  </si>
  <si>
    <t>Imperial gallon; exact</t>
  </si>
  <si>
    <t>tsp_metric_5</t>
  </si>
  <si>
    <t>Metric teaspoon; exact</t>
  </si>
  <si>
    <t>tbsp_metric_15</t>
  </si>
  <si>
    <t>Metric tablespoon; exact</t>
  </si>
  <si>
    <t>tbsp_au_20</t>
  </si>
  <si>
    <t>Australian tablespoon; exact</t>
  </si>
  <si>
    <t>cup_metric_250</t>
  </si>
  <si>
    <t>Metric cup (AU/CA/NZ); exact</t>
  </si>
  <si>
    <t>cup_jp_200</t>
  </si>
  <si>
    <t>Japanese cup for rice; exact</t>
  </si>
  <si>
    <t>C</t>
  </si>
  <si>
    <t>K</t>
  </si>
  <si>
    <t>temperature</t>
  </si>
  <si>
    <t>Kelvin = °C + 273.15 (offset +273.15)</t>
  </si>
  <si>
    <t>F</t>
  </si>
  <si>
    <t>Kelvin = (°F − 32) × 5/9 + 273.15 (pre-offset −32, post-offset +273.15)</t>
  </si>
  <si>
    <t>Example of what is displayed in the app</t>
  </si>
  <si>
    <t>4 Eggs</t>
  </si>
  <si>
    <t>4 (14-oz) Canned tomatoes (diced)</t>
  </si>
  <si>
    <t>CUPS</t>
  </si>
  <si>
    <t>3 CUPS Arugula</t>
  </si>
  <si>
    <t>6 TBSP Cocoa Powder</t>
  </si>
  <si>
    <t>2 CUPS Brown sugar</t>
  </si>
  <si>
    <t>OZ</t>
  </si>
  <si>
    <t>14.2 OZ Tofu (firm)</t>
  </si>
  <si>
    <t>2 TBSP Cumin</t>
  </si>
  <si>
    <t>4 1/4 CUPS Vegetable broth (canned)</t>
  </si>
  <si>
    <t>2 CUPS Milk</t>
  </si>
  <si>
    <t>1 CUP Olive oil</t>
  </si>
  <si>
    <t>1/4</t>
  </si>
  <si>
    <t>1/4 CUP Olive oil</t>
  </si>
  <si>
    <t>2 Lemon</t>
  </si>
  <si>
    <t>1 CUP Walnuts</t>
  </si>
  <si>
    <t>710 ML Arugula</t>
  </si>
  <si>
    <t>427 G Brown sugar</t>
  </si>
  <si>
    <t>400 G Tofu (firm)</t>
  </si>
  <si>
    <t>1 L Vegetable broth (canned)</t>
  </si>
  <si>
    <t>480 ML Milk</t>
  </si>
  <si>
    <t>240 G Walnuts</t>
  </si>
  <si>
    <t xml:space="preserve">60 </t>
  </si>
  <si>
    <t>60 ML Olive oil</t>
  </si>
  <si>
    <t>220 ML Olive oil</t>
  </si>
  <si>
    <t>480 ML Brown sugar</t>
  </si>
  <si>
    <t>480 ML Walnuts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</si>
</sst>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2" fontId="0" fillId="0" borderId="0" xfId="0" applyNumberFormat="1"/>
    <xf numFmtId="0" fontId="2" fillId="0" borderId="0" xfId="0" applyFont="1"/>
    <xf numFmtId="0" fontId="1" fillId="2" borderId="2" xfId="0" applyFont="1" applyFill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0" fillId="3" borderId="0" xfId="0" applyFill="1" applyAlignment="1">
      <alignment wrapText="1"/>
    </xf>
    <xf numFmtId="166" fontId="0" fillId="3" borderId="0" xfId="0" applyNumberFormat="1" applyFill="1" applyAlignment="1">
      <alignment wrapText="1"/>
    </xf>
    <xf numFmtId="0" fontId="0" fillId="3" borderId="0" xfId="0" applyFill="1" applyBorder="1"/>
    <xf numFmtId="12" fontId="0" fillId="3" borderId="0" xfId="0" applyNumberFormat="1" applyFill="1"/>
    <xf numFmtId="49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1" fillId="3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3859-8176-49AB-87E6-DC6F830776BD}">
  <dimension ref="A1:O2"/>
  <sheetViews>
    <sheetView workbookViewId="0">
      <selection activeCell="N28" sqref="N28"/>
    </sheetView>
  </sheetViews>
  <sheetFormatPr defaultRowHeight="14.4" x14ac:dyDescent="0.3"/>
  <cols>
    <col min="1" max="1" width="21.5546875" bestFit="1" customWidth="1"/>
    <col min="2" max="2" width="11.109375" bestFit="1" customWidth="1"/>
    <col min="3" max="3" width="51" style="9" customWidth="1"/>
    <col min="4" max="4" width="28.88671875" style="9" customWidth="1"/>
    <col min="7" max="7" width="9.109375" bestFit="1" customWidth="1"/>
    <col min="9" max="9" width="9.21875" customWidth="1"/>
    <col min="11" max="11" width="19.88671875" customWidth="1"/>
    <col min="12" max="12" width="20.44140625" bestFit="1" customWidth="1"/>
    <col min="13" max="13" width="26.77734375" bestFit="1" customWidth="1"/>
    <col min="14" max="14" width="17.44140625" bestFit="1" customWidth="1"/>
  </cols>
  <sheetData>
    <row r="1" spans="1:15" x14ac:dyDescent="0.3">
      <c r="A1" s="1" t="s">
        <v>132</v>
      </c>
      <c r="B1" s="1" t="s">
        <v>131</v>
      </c>
      <c r="C1" s="10" t="s">
        <v>130</v>
      </c>
      <c r="D1" s="10" t="s">
        <v>129</v>
      </c>
      <c r="E1" s="1" t="s">
        <v>128</v>
      </c>
      <c r="F1" s="1" t="s">
        <v>127</v>
      </c>
      <c r="G1" s="1" t="s">
        <v>126</v>
      </c>
      <c r="H1" s="1" t="s">
        <v>125</v>
      </c>
      <c r="I1" s="1" t="s">
        <v>124</v>
      </c>
      <c r="J1" s="1" t="s">
        <v>123</v>
      </c>
      <c r="K1" s="1" t="s">
        <v>122</v>
      </c>
      <c r="L1" s="1" t="s">
        <v>121</v>
      </c>
      <c r="M1" s="1" t="s">
        <v>120</v>
      </c>
      <c r="N1" s="1" t="s">
        <v>119</v>
      </c>
      <c r="O1" s="1" t="s">
        <v>118</v>
      </c>
    </row>
    <row r="2" spans="1:15" ht="187.2" x14ac:dyDescent="0.3">
      <c r="A2" t="s">
        <v>27</v>
      </c>
      <c r="C2" s="9" t="s">
        <v>117</v>
      </c>
      <c r="D2" s="9" t="s">
        <v>116</v>
      </c>
      <c r="E2" t="s">
        <v>115</v>
      </c>
      <c r="G2" t="s">
        <v>114</v>
      </c>
      <c r="J2">
        <v>2</v>
      </c>
      <c r="O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opLeftCell="M1" workbookViewId="0">
      <selection activeCell="AB9" sqref="AB9"/>
    </sheetView>
  </sheetViews>
  <sheetFormatPr defaultRowHeight="14.4" x14ac:dyDescent="0.3"/>
  <cols>
    <col min="1" max="1" width="26.77734375" customWidth="1"/>
    <col min="2" max="2" width="18.88671875" customWidth="1"/>
    <col min="3" max="3" width="34" customWidth="1"/>
    <col min="4" max="4" width="26.109375" customWidth="1"/>
    <col min="6" max="6" width="8.33203125" bestFit="1" customWidth="1"/>
    <col min="7" max="7" width="28.77734375" customWidth="1"/>
    <col min="8" max="8" width="25.5546875" customWidth="1"/>
    <col min="9" max="9" width="17.5546875" customWidth="1"/>
    <col min="10" max="10" width="20.88671875" customWidth="1"/>
    <col min="11" max="11" width="16.6640625" customWidth="1"/>
    <col min="12" max="12" width="14.88671875" customWidth="1"/>
    <col min="13" max="13" width="16.109375" customWidth="1"/>
    <col min="14" max="14" width="17.5546875" customWidth="1"/>
    <col min="15" max="15" width="8.88671875" customWidth="1"/>
    <col min="16" max="16" width="22.109375" customWidth="1"/>
    <col min="17" max="17" width="25.5546875" customWidth="1"/>
    <col min="18" max="18" width="20.44140625" customWidth="1"/>
    <col min="19" max="19" width="15.109375" customWidth="1"/>
    <col min="20" max="20" width="15.6640625" customWidth="1"/>
    <col min="21" max="21" width="15.109375" customWidth="1"/>
    <col min="22" max="22" width="11.44140625" customWidth="1"/>
    <col min="23" max="23" width="20.5546875" customWidth="1"/>
    <col min="24" max="24" width="20.6640625" customWidth="1"/>
    <col min="25" max="25" width="19.33203125" customWidth="1"/>
    <col min="26" max="26" width="19.77734375" customWidth="1"/>
    <col min="27" max="27" width="14.5546875" customWidth="1"/>
    <col min="28" max="28" width="19.44140625" customWidth="1"/>
    <col min="30" max="30" width="23.77734375" style="5" customWidth="1"/>
  </cols>
  <sheetData>
    <row r="1" spans="1:30" ht="43.2" x14ac:dyDescent="0.3">
      <c r="A1" s="1" t="s">
        <v>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D1" s="4" t="s">
        <v>102</v>
      </c>
    </row>
    <row r="2" spans="1:30" x14ac:dyDescent="0.3">
      <c r="A2" t="s">
        <v>27</v>
      </c>
      <c r="B2">
        <v>1</v>
      </c>
      <c r="C2" t="s">
        <v>28</v>
      </c>
      <c r="D2" t="s">
        <v>41</v>
      </c>
      <c r="E2">
        <v>2</v>
      </c>
      <c r="F2">
        <v>2</v>
      </c>
      <c r="G2" t="b">
        <v>0</v>
      </c>
      <c r="H2" t="s">
        <v>47</v>
      </c>
      <c r="I2" t="s">
        <v>52</v>
      </c>
      <c r="J2" t="s">
        <v>57</v>
      </c>
      <c r="P2" t="s">
        <v>61</v>
      </c>
      <c r="Q2" t="s">
        <v>71</v>
      </c>
      <c r="R2" t="s">
        <v>81</v>
      </c>
      <c r="S2" t="s">
        <v>81</v>
      </c>
      <c r="T2" t="s">
        <v>86</v>
      </c>
      <c r="U2" t="s">
        <v>87</v>
      </c>
      <c r="X2" t="b">
        <v>1</v>
      </c>
      <c r="Y2">
        <v>2</v>
      </c>
      <c r="Z2">
        <v>2</v>
      </c>
      <c r="AA2">
        <v>2</v>
      </c>
      <c r="AB2" t="s">
        <v>57</v>
      </c>
    </row>
    <row r="3" spans="1:30" x14ac:dyDescent="0.3">
      <c r="A3" t="s">
        <v>27</v>
      </c>
      <c r="B3">
        <v>2</v>
      </c>
      <c r="C3" t="s">
        <v>29</v>
      </c>
      <c r="D3" t="s">
        <v>41</v>
      </c>
      <c r="E3">
        <v>2</v>
      </c>
      <c r="F3">
        <v>2</v>
      </c>
      <c r="G3" t="b">
        <v>0</v>
      </c>
      <c r="H3" t="s">
        <v>90</v>
      </c>
      <c r="I3" t="s">
        <v>91</v>
      </c>
      <c r="J3" t="s">
        <v>57</v>
      </c>
      <c r="K3" t="s">
        <v>60</v>
      </c>
      <c r="P3" t="s">
        <v>138</v>
      </c>
      <c r="Q3" t="s">
        <v>139</v>
      </c>
      <c r="R3" t="s">
        <v>81</v>
      </c>
      <c r="S3" t="s">
        <v>81</v>
      </c>
      <c r="T3" t="s">
        <v>86</v>
      </c>
      <c r="U3" t="s">
        <v>87</v>
      </c>
      <c r="X3" t="b">
        <v>1</v>
      </c>
      <c r="Y3">
        <v>2</v>
      </c>
      <c r="Z3">
        <v>2</v>
      </c>
      <c r="AA3">
        <v>2</v>
      </c>
      <c r="AB3" t="s">
        <v>57</v>
      </c>
    </row>
    <row r="4" spans="1:30" x14ac:dyDescent="0.3">
      <c r="A4" t="s">
        <v>27</v>
      </c>
      <c r="B4">
        <v>3</v>
      </c>
      <c r="C4" t="s">
        <v>30</v>
      </c>
      <c r="D4" s="2">
        <v>1.5</v>
      </c>
      <c r="E4" s="2">
        <v>1.5</v>
      </c>
      <c r="F4" s="2">
        <v>1.5</v>
      </c>
      <c r="G4" t="b">
        <v>0</v>
      </c>
      <c r="H4" t="s">
        <v>89</v>
      </c>
      <c r="I4" t="s">
        <v>54</v>
      </c>
      <c r="J4" t="s">
        <v>58</v>
      </c>
      <c r="P4" t="s">
        <v>62</v>
      </c>
      <c r="Q4" t="s">
        <v>72</v>
      </c>
      <c r="R4" t="s">
        <v>81</v>
      </c>
      <c r="S4" t="s">
        <v>81</v>
      </c>
      <c r="T4" t="s">
        <v>50</v>
      </c>
      <c r="U4" t="s">
        <v>95</v>
      </c>
      <c r="V4" t="s">
        <v>96</v>
      </c>
      <c r="W4">
        <v>8.5000000000000006E-2</v>
      </c>
      <c r="X4" t="b">
        <v>1</v>
      </c>
      <c r="Y4">
        <f>AD4</f>
        <v>30.16500015375</v>
      </c>
      <c r="Z4">
        <f>AD4</f>
        <v>30.16500015375</v>
      </c>
      <c r="AA4">
        <f>AD4</f>
        <v>30.16500015375</v>
      </c>
      <c r="AB4" t="s">
        <v>104</v>
      </c>
      <c r="AD4" s="5">
        <f>(1.5*236.5882365)*0.085</f>
        <v>30.16500015375</v>
      </c>
    </row>
    <row r="5" spans="1:30" ht="15.6" x14ac:dyDescent="0.3">
      <c r="A5" t="s">
        <v>27</v>
      </c>
      <c r="B5">
        <v>4</v>
      </c>
      <c r="C5" t="s">
        <v>31</v>
      </c>
      <c r="D5" t="s">
        <v>43</v>
      </c>
      <c r="E5">
        <v>3</v>
      </c>
      <c r="F5">
        <v>3</v>
      </c>
      <c r="G5" t="b">
        <v>0</v>
      </c>
      <c r="H5" t="s">
        <v>48</v>
      </c>
      <c r="I5" t="s">
        <v>53</v>
      </c>
      <c r="J5" t="s">
        <v>58</v>
      </c>
      <c r="P5" t="s">
        <v>63</v>
      </c>
      <c r="Q5" t="s">
        <v>73</v>
      </c>
      <c r="R5" t="s">
        <v>82</v>
      </c>
      <c r="S5" t="s">
        <v>82</v>
      </c>
      <c r="T5" t="s">
        <v>50</v>
      </c>
      <c r="U5" s="3" t="s">
        <v>95</v>
      </c>
      <c r="V5" t="s">
        <v>97</v>
      </c>
      <c r="W5">
        <v>0.35499999999999998</v>
      </c>
      <c r="X5" t="b">
        <v>1</v>
      </c>
      <c r="Y5">
        <f t="shared" ref="Y5:Y14" si="0">AD5</f>
        <v>15.747899399999998</v>
      </c>
      <c r="Z5">
        <f t="shared" ref="Z5:Z14" si="1">AD5</f>
        <v>15.747899399999998</v>
      </c>
      <c r="AA5">
        <f t="shared" ref="AA5:AA14" si="2">AD5</f>
        <v>15.747899399999998</v>
      </c>
      <c r="AB5" t="s">
        <v>104</v>
      </c>
      <c r="AD5" s="5">
        <f>(3*14.78676)*W5</f>
        <v>15.747899399999998</v>
      </c>
    </row>
    <row r="6" spans="1:30" ht="15.6" x14ac:dyDescent="0.3">
      <c r="A6" t="s">
        <v>27</v>
      </c>
      <c r="B6">
        <v>5</v>
      </c>
      <c r="C6" t="s">
        <v>32</v>
      </c>
      <c r="D6" t="s">
        <v>42</v>
      </c>
      <c r="E6">
        <v>1</v>
      </c>
      <c r="F6">
        <v>1</v>
      </c>
      <c r="G6" t="b">
        <v>0</v>
      </c>
      <c r="H6" t="s">
        <v>49</v>
      </c>
      <c r="I6" t="s">
        <v>54</v>
      </c>
      <c r="J6" t="s">
        <v>58</v>
      </c>
      <c r="P6" t="s">
        <v>64</v>
      </c>
      <c r="Q6" t="s">
        <v>74</v>
      </c>
      <c r="R6" t="s">
        <v>82</v>
      </c>
      <c r="S6" t="s">
        <v>82</v>
      </c>
      <c r="T6" t="s">
        <v>50</v>
      </c>
      <c r="U6" s="3" t="s">
        <v>95</v>
      </c>
      <c r="V6" t="s">
        <v>98</v>
      </c>
      <c r="W6">
        <v>0.90029999999999999</v>
      </c>
      <c r="X6" t="b">
        <v>1</v>
      </c>
      <c r="Y6">
        <f t="shared" si="0"/>
        <v>213.00035646000001</v>
      </c>
      <c r="Z6">
        <f t="shared" si="1"/>
        <v>213.00035646000001</v>
      </c>
      <c r="AA6">
        <f t="shared" si="2"/>
        <v>213.00035646000001</v>
      </c>
      <c r="AB6" t="s">
        <v>104</v>
      </c>
      <c r="AD6" s="5">
        <f>(1*236.5882)*0.9003</f>
        <v>213.00035646000001</v>
      </c>
    </row>
    <row r="7" spans="1:30" x14ac:dyDescent="0.3">
      <c r="A7" t="s">
        <v>27</v>
      </c>
      <c r="B7">
        <v>6</v>
      </c>
      <c r="C7" t="s">
        <v>33</v>
      </c>
      <c r="D7" t="s">
        <v>44</v>
      </c>
      <c r="E7">
        <v>200</v>
      </c>
      <c r="F7">
        <v>200</v>
      </c>
      <c r="G7" t="b">
        <v>0</v>
      </c>
      <c r="H7" t="s">
        <v>50</v>
      </c>
      <c r="I7" t="s">
        <v>55</v>
      </c>
      <c r="J7" t="s">
        <v>59</v>
      </c>
      <c r="P7" t="s">
        <v>65</v>
      </c>
      <c r="Q7" t="s">
        <v>75</v>
      </c>
      <c r="R7" t="s">
        <v>83</v>
      </c>
      <c r="S7" t="s">
        <v>83</v>
      </c>
      <c r="T7" t="s">
        <v>50</v>
      </c>
      <c r="U7" t="s">
        <v>87</v>
      </c>
      <c r="X7" t="b">
        <v>1</v>
      </c>
      <c r="Y7">
        <v>200</v>
      </c>
      <c r="Z7">
        <v>200</v>
      </c>
      <c r="AA7">
        <v>200</v>
      </c>
      <c r="AB7" t="s">
        <v>105</v>
      </c>
    </row>
    <row r="8" spans="1:30" ht="15.6" x14ac:dyDescent="0.3">
      <c r="A8" t="s">
        <v>27</v>
      </c>
      <c r="B8">
        <v>7</v>
      </c>
      <c r="C8" t="s">
        <v>34</v>
      </c>
      <c r="D8" t="s">
        <v>42</v>
      </c>
      <c r="E8">
        <v>1</v>
      </c>
      <c r="F8">
        <v>1</v>
      </c>
      <c r="G8" t="b">
        <v>0</v>
      </c>
      <c r="H8" t="s">
        <v>48</v>
      </c>
      <c r="I8" t="s">
        <v>53</v>
      </c>
      <c r="J8" t="s">
        <v>58</v>
      </c>
      <c r="P8" t="s">
        <v>66</v>
      </c>
      <c r="Q8" t="s">
        <v>76</v>
      </c>
      <c r="R8" t="s">
        <v>84</v>
      </c>
      <c r="S8" t="s">
        <v>84</v>
      </c>
      <c r="T8" t="s">
        <v>50</v>
      </c>
      <c r="U8" s="3" t="s">
        <v>95</v>
      </c>
      <c r="V8" t="s">
        <v>100</v>
      </c>
      <c r="W8">
        <v>0.33</v>
      </c>
      <c r="X8" t="b">
        <v>1</v>
      </c>
      <c r="Y8">
        <f t="shared" si="0"/>
        <v>4.8796308000000002</v>
      </c>
      <c r="Z8">
        <f t="shared" si="1"/>
        <v>4.8796308000000002</v>
      </c>
      <c r="AA8">
        <f t="shared" si="2"/>
        <v>4.8796308000000002</v>
      </c>
      <c r="AB8" t="s">
        <v>104</v>
      </c>
      <c r="AD8" s="5">
        <f>(1*14.78676)*0.33</f>
        <v>4.8796308000000002</v>
      </c>
    </row>
    <row r="9" spans="1:30" x14ac:dyDescent="0.3">
      <c r="A9" t="s">
        <v>27</v>
      </c>
      <c r="B9">
        <v>8</v>
      </c>
      <c r="C9" t="s">
        <v>35</v>
      </c>
      <c r="D9" t="s">
        <v>45</v>
      </c>
      <c r="E9">
        <v>500</v>
      </c>
      <c r="F9">
        <v>500</v>
      </c>
      <c r="G9" t="b">
        <v>0</v>
      </c>
      <c r="H9" t="s">
        <v>51</v>
      </c>
      <c r="I9" t="s">
        <v>56</v>
      </c>
      <c r="J9" t="s">
        <v>58</v>
      </c>
      <c r="P9" t="s">
        <v>137</v>
      </c>
      <c r="Q9" t="s">
        <v>93</v>
      </c>
      <c r="R9" t="s">
        <v>94</v>
      </c>
      <c r="S9" t="s">
        <v>94</v>
      </c>
      <c r="T9" t="s">
        <v>51</v>
      </c>
      <c r="U9" t="s">
        <v>87</v>
      </c>
      <c r="X9" t="b">
        <v>1</v>
      </c>
      <c r="Y9">
        <v>500</v>
      </c>
      <c r="Z9">
        <v>500</v>
      </c>
      <c r="AA9">
        <v>500</v>
      </c>
      <c r="AB9" t="s">
        <v>106</v>
      </c>
    </row>
    <row r="10" spans="1:30" x14ac:dyDescent="0.3">
      <c r="A10" t="s">
        <v>27</v>
      </c>
      <c r="B10">
        <v>9</v>
      </c>
      <c r="C10" t="s">
        <v>36</v>
      </c>
      <c r="D10" t="s">
        <v>42</v>
      </c>
      <c r="E10">
        <v>1</v>
      </c>
      <c r="F10">
        <v>1</v>
      </c>
      <c r="G10" t="b">
        <v>0</v>
      </c>
      <c r="H10" t="s">
        <v>49</v>
      </c>
      <c r="I10" t="s">
        <v>54</v>
      </c>
      <c r="J10" t="s">
        <v>58</v>
      </c>
      <c r="P10" t="s">
        <v>67</v>
      </c>
      <c r="Q10" t="s">
        <v>77</v>
      </c>
      <c r="R10" t="s">
        <v>85</v>
      </c>
      <c r="S10" t="s">
        <v>85</v>
      </c>
      <c r="T10" t="s">
        <v>51</v>
      </c>
      <c r="U10" t="s">
        <v>87</v>
      </c>
      <c r="X10" t="b">
        <v>1</v>
      </c>
      <c r="Y10">
        <f t="shared" si="0"/>
        <v>236.58823649999999</v>
      </c>
      <c r="Z10">
        <f t="shared" si="1"/>
        <v>236.58823649999999</v>
      </c>
      <c r="AA10">
        <f t="shared" si="2"/>
        <v>236.58823649999999</v>
      </c>
      <c r="AB10" t="s">
        <v>106</v>
      </c>
      <c r="AD10" s="5">
        <f>1*236.5882365</f>
        <v>236.58823649999999</v>
      </c>
    </row>
    <row r="11" spans="1:30" x14ac:dyDescent="0.3">
      <c r="A11" t="s">
        <v>27</v>
      </c>
      <c r="B11">
        <v>10</v>
      </c>
      <c r="C11" t="s">
        <v>37</v>
      </c>
      <c r="D11" t="s">
        <v>46</v>
      </c>
      <c r="E11">
        <v>100</v>
      </c>
      <c r="F11">
        <v>100</v>
      </c>
      <c r="G11" t="b">
        <v>0</v>
      </c>
      <c r="H11" t="s">
        <v>50</v>
      </c>
      <c r="I11" t="s">
        <v>55</v>
      </c>
      <c r="J11" t="s">
        <v>59</v>
      </c>
      <c r="P11" t="s">
        <v>68</v>
      </c>
      <c r="Q11" t="s">
        <v>78</v>
      </c>
      <c r="R11" t="s">
        <v>85</v>
      </c>
      <c r="S11" t="s">
        <v>85</v>
      </c>
      <c r="T11" t="s">
        <v>51</v>
      </c>
      <c r="U11" t="s">
        <v>99</v>
      </c>
      <c r="V11" t="s">
        <v>101</v>
      </c>
      <c r="W11">
        <v>0.91700000000000004</v>
      </c>
      <c r="X11" t="b">
        <v>1</v>
      </c>
      <c r="Y11">
        <f t="shared" si="0"/>
        <v>109.05125408942203</v>
      </c>
      <c r="Z11">
        <f t="shared" si="1"/>
        <v>109.05125408942203</v>
      </c>
      <c r="AA11">
        <f t="shared" si="2"/>
        <v>109.05125408942203</v>
      </c>
      <c r="AB11" t="s">
        <v>107</v>
      </c>
      <c r="AD11" s="5">
        <f>100/0.917</f>
        <v>109.05125408942203</v>
      </c>
    </row>
    <row r="12" spans="1:30" x14ac:dyDescent="0.3">
      <c r="A12" t="s">
        <v>27</v>
      </c>
      <c r="B12">
        <v>11</v>
      </c>
      <c r="C12" t="s">
        <v>38</v>
      </c>
      <c r="D12" t="s">
        <v>41</v>
      </c>
      <c r="E12">
        <v>2</v>
      </c>
      <c r="F12">
        <v>2</v>
      </c>
      <c r="G12" t="b">
        <v>0</v>
      </c>
      <c r="H12" t="s">
        <v>48</v>
      </c>
      <c r="I12" t="s">
        <v>53</v>
      </c>
      <c r="J12" t="s">
        <v>58</v>
      </c>
      <c r="P12" t="s">
        <v>68</v>
      </c>
      <c r="Q12" t="s">
        <v>78</v>
      </c>
      <c r="R12" t="s">
        <v>85</v>
      </c>
      <c r="S12" t="s">
        <v>85</v>
      </c>
      <c r="T12" t="s">
        <v>51</v>
      </c>
      <c r="U12" t="s">
        <v>87</v>
      </c>
      <c r="X12" t="b">
        <v>1</v>
      </c>
      <c r="Y12">
        <f t="shared" si="0"/>
        <v>29.573529562499999</v>
      </c>
      <c r="Z12">
        <f t="shared" si="1"/>
        <v>29.573529562499999</v>
      </c>
      <c r="AA12">
        <f t="shared" si="2"/>
        <v>29.573529562499999</v>
      </c>
      <c r="AB12" t="s">
        <v>106</v>
      </c>
      <c r="AD12" s="5">
        <f>2*14.78676478125</f>
        <v>29.573529562499999</v>
      </c>
    </row>
    <row r="13" spans="1:30" x14ac:dyDescent="0.3">
      <c r="A13" t="s">
        <v>27</v>
      </c>
      <c r="B13">
        <v>12</v>
      </c>
      <c r="C13" t="s">
        <v>39</v>
      </c>
      <c r="D13" t="s">
        <v>42</v>
      </c>
      <c r="E13">
        <v>1</v>
      </c>
      <c r="F13">
        <v>1</v>
      </c>
      <c r="G13" t="b">
        <v>0</v>
      </c>
      <c r="I13" t="s">
        <v>92</v>
      </c>
      <c r="J13" t="s">
        <v>57</v>
      </c>
      <c r="P13" t="s">
        <v>69</v>
      </c>
      <c r="Q13" t="s">
        <v>79</v>
      </c>
      <c r="R13" t="s">
        <v>81</v>
      </c>
      <c r="S13" t="s">
        <v>81</v>
      </c>
      <c r="T13" t="s">
        <v>86</v>
      </c>
      <c r="U13" t="s">
        <v>87</v>
      </c>
      <c r="X13" t="b">
        <v>1</v>
      </c>
      <c r="Y13">
        <v>1</v>
      </c>
      <c r="Z13">
        <v>1</v>
      </c>
      <c r="AA13">
        <v>1</v>
      </c>
      <c r="AB13" t="s">
        <v>57</v>
      </c>
    </row>
    <row r="14" spans="1:30" ht="15.6" x14ac:dyDescent="0.3">
      <c r="A14" t="s">
        <v>27</v>
      </c>
      <c r="B14">
        <v>13</v>
      </c>
      <c r="C14" t="s">
        <v>40</v>
      </c>
      <c r="D14" t="s">
        <v>42</v>
      </c>
      <c r="E14">
        <v>1</v>
      </c>
      <c r="F14">
        <v>1</v>
      </c>
      <c r="G14" t="b">
        <v>0</v>
      </c>
      <c r="H14" t="s">
        <v>49</v>
      </c>
      <c r="I14" t="s">
        <v>54</v>
      </c>
      <c r="J14" t="s">
        <v>58</v>
      </c>
      <c r="P14" t="s">
        <v>70</v>
      </c>
      <c r="Q14" t="s">
        <v>80</v>
      </c>
      <c r="R14" t="s">
        <v>81</v>
      </c>
      <c r="S14" t="s">
        <v>81</v>
      </c>
      <c r="T14" t="s">
        <v>50</v>
      </c>
      <c r="U14" s="3" t="s">
        <v>95</v>
      </c>
      <c r="V14" t="s">
        <v>103</v>
      </c>
      <c r="W14">
        <v>0.4945</v>
      </c>
      <c r="X14" t="b">
        <v>1</v>
      </c>
      <c r="Y14">
        <f t="shared" si="0"/>
        <v>116.9928649</v>
      </c>
      <c r="Z14">
        <f t="shared" si="1"/>
        <v>116.9928649</v>
      </c>
      <c r="AA14">
        <f t="shared" si="2"/>
        <v>116.9928649</v>
      </c>
      <c r="AB14" t="s">
        <v>104</v>
      </c>
      <c r="AD14" s="5">
        <f>(1*236.5882)*0.4945</f>
        <v>116.9928649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F09B-998E-4DD4-B464-0C5B60E5EFDD}">
  <dimension ref="A1:AK48"/>
  <sheetViews>
    <sheetView tabSelected="1" topLeftCell="X1" workbookViewId="0">
      <selection activeCell="T34" sqref="T34"/>
    </sheetView>
  </sheetViews>
  <sheetFormatPr defaultRowHeight="14.4" x14ac:dyDescent="0.3"/>
  <cols>
    <col min="1" max="1" width="26.77734375" customWidth="1"/>
    <col min="2" max="2" width="18.88671875" customWidth="1"/>
    <col min="3" max="3" width="34" customWidth="1"/>
    <col min="4" max="4" width="26.109375" hidden="1" customWidth="1"/>
    <col min="5" max="5" width="0" hidden="1" customWidth="1"/>
    <col min="6" max="6" width="8.33203125" hidden="1" customWidth="1"/>
    <col min="7" max="7" width="28.77734375" hidden="1" customWidth="1"/>
    <col min="8" max="8" width="25.5546875" customWidth="1"/>
    <col min="9" max="9" width="17.5546875" customWidth="1"/>
    <col min="10" max="10" width="20.88671875" customWidth="1"/>
    <col min="11" max="11" width="16.6640625" customWidth="1"/>
    <col min="12" max="12" width="14.88671875" customWidth="1"/>
    <col min="13" max="13" width="16.109375" customWidth="1"/>
    <col min="14" max="14" width="17.5546875" customWidth="1"/>
    <col min="15" max="15" width="8.88671875" customWidth="1"/>
    <col min="16" max="16" width="22.109375" customWidth="1"/>
    <col min="17" max="17" width="25.5546875" customWidth="1"/>
    <col min="18" max="18" width="20.44140625" customWidth="1"/>
    <col min="19" max="19" width="15.109375" customWidth="1"/>
    <col min="20" max="20" width="15.6640625" customWidth="1"/>
    <col min="21" max="21" width="15.109375" customWidth="1"/>
    <col min="22" max="22" width="11.44140625" customWidth="1"/>
    <col min="23" max="23" width="20.5546875" customWidth="1"/>
    <col min="24" max="24" width="20.6640625" customWidth="1"/>
    <col min="25" max="25" width="19.33203125" customWidth="1"/>
    <col min="26" max="26" width="19.77734375" customWidth="1"/>
    <col min="27" max="27" width="14.5546875" customWidth="1"/>
    <col min="28" max="31" width="19.44140625" customWidth="1"/>
    <col min="32" max="32" width="42.5546875" style="9" customWidth="1"/>
    <col min="33" max="33" width="30.77734375" style="9" customWidth="1"/>
    <col min="34" max="35" width="22.77734375" customWidth="1"/>
    <col min="36" max="36" width="31.109375" bestFit="1" customWidth="1"/>
    <col min="37" max="37" width="23.77734375" style="5" hidden="1" customWidth="1"/>
  </cols>
  <sheetData>
    <row r="1" spans="1:37" ht="72" x14ac:dyDescent="0.3">
      <c r="A1" s="1" t="s">
        <v>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8" t="s">
        <v>108</v>
      </c>
      <c r="AD1" s="18" t="s">
        <v>109</v>
      </c>
      <c r="AE1" s="18" t="s">
        <v>111</v>
      </c>
      <c r="AF1" s="20" t="s">
        <v>112</v>
      </c>
      <c r="AG1" s="20" t="s">
        <v>140</v>
      </c>
      <c r="AH1" s="20" t="s">
        <v>141</v>
      </c>
      <c r="AI1" s="18" t="s">
        <v>110</v>
      </c>
      <c r="AJ1" s="20" t="s">
        <v>202</v>
      </c>
      <c r="AK1" s="4" t="s">
        <v>102</v>
      </c>
    </row>
    <row r="2" spans="1:37" x14ac:dyDescent="0.3">
      <c r="A2" t="s">
        <v>27</v>
      </c>
      <c r="B2">
        <v>1</v>
      </c>
      <c r="C2" t="s">
        <v>28</v>
      </c>
      <c r="D2" t="s">
        <v>41</v>
      </c>
      <c r="E2">
        <v>2</v>
      </c>
      <c r="F2">
        <v>2</v>
      </c>
      <c r="G2" t="b">
        <v>0</v>
      </c>
      <c r="H2" t="s">
        <v>47</v>
      </c>
      <c r="I2" t="s">
        <v>52</v>
      </c>
      <c r="J2" t="s">
        <v>57</v>
      </c>
      <c r="P2" t="s">
        <v>61</v>
      </c>
      <c r="Q2" t="s">
        <v>71</v>
      </c>
      <c r="R2" t="s">
        <v>81</v>
      </c>
      <c r="S2" t="s">
        <v>81</v>
      </c>
      <c r="T2" t="s">
        <v>86</v>
      </c>
      <c r="U2" t="s">
        <v>87</v>
      </c>
      <c r="X2" t="b">
        <v>1</v>
      </c>
      <c r="Y2">
        <v>2</v>
      </c>
      <c r="Z2">
        <v>2</v>
      </c>
      <c r="AA2">
        <v>2</v>
      </c>
      <c r="AB2" t="s">
        <v>57</v>
      </c>
      <c r="AC2" s="19">
        <v>4</v>
      </c>
      <c r="AD2" s="19" t="s">
        <v>133</v>
      </c>
      <c r="AE2" s="6" t="s">
        <v>134</v>
      </c>
      <c r="AF2" s="12"/>
      <c r="AG2" s="13">
        <f>AA2*2</f>
        <v>4</v>
      </c>
      <c r="AH2" s="6">
        <v>4</v>
      </c>
      <c r="AI2" s="6"/>
      <c r="AJ2" s="6" t="s">
        <v>203</v>
      </c>
    </row>
    <row r="3" spans="1:37" ht="43.2" x14ac:dyDescent="0.3">
      <c r="A3" t="s">
        <v>27</v>
      </c>
      <c r="B3">
        <v>2</v>
      </c>
      <c r="C3" t="s">
        <v>29</v>
      </c>
      <c r="D3" t="s">
        <v>41</v>
      </c>
      <c r="E3">
        <v>2</v>
      </c>
      <c r="F3">
        <v>2</v>
      </c>
      <c r="G3" t="b">
        <v>0</v>
      </c>
      <c r="H3" t="s">
        <v>90</v>
      </c>
      <c r="I3" t="s">
        <v>91</v>
      </c>
      <c r="J3" t="s">
        <v>57</v>
      </c>
      <c r="K3" t="s">
        <v>60</v>
      </c>
      <c r="P3" t="s">
        <v>138</v>
      </c>
      <c r="Q3" t="s">
        <v>139</v>
      </c>
      <c r="R3" t="s">
        <v>81</v>
      </c>
      <c r="S3" t="s">
        <v>81</v>
      </c>
      <c r="T3" t="s">
        <v>86</v>
      </c>
      <c r="U3" t="s">
        <v>87</v>
      </c>
      <c r="X3" t="b">
        <v>1</v>
      </c>
      <c r="Y3">
        <v>2</v>
      </c>
      <c r="Z3">
        <v>2</v>
      </c>
      <c r="AA3">
        <v>2</v>
      </c>
      <c r="AB3" t="s">
        <v>57</v>
      </c>
      <c r="AC3" s="19">
        <v>4</v>
      </c>
      <c r="AD3" s="19" t="s">
        <v>133</v>
      </c>
      <c r="AE3" s="6" t="s">
        <v>134</v>
      </c>
      <c r="AF3" s="12" t="s">
        <v>135</v>
      </c>
      <c r="AG3" s="13">
        <f>AA3*2</f>
        <v>4</v>
      </c>
      <c r="AH3" s="6">
        <v>4</v>
      </c>
      <c r="AI3" s="6"/>
      <c r="AJ3" s="6" t="s">
        <v>204</v>
      </c>
    </row>
    <row r="4" spans="1:37" x14ac:dyDescent="0.3">
      <c r="A4" t="s">
        <v>27</v>
      </c>
      <c r="B4">
        <v>3</v>
      </c>
      <c r="C4" t="s">
        <v>30</v>
      </c>
      <c r="D4" s="2">
        <v>1.5</v>
      </c>
      <c r="E4" s="2">
        <v>1.5</v>
      </c>
      <c r="F4" s="2">
        <v>1.5</v>
      </c>
      <c r="G4" t="b">
        <v>0</v>
      </c>
      <c r="H4" t="s">
        <v>89</v>
      </c>
      <c r="I4" t="s">
        <v>54</v>
      </c>
      <c r="J4" t="s">
        <v>58</v>
      </c>
      <c r="P4" t="s">
        <v>62</v>
      </c>
      <c r="Q4" t="s">
        <v>72</v>
      </c>
      <c r="R4" t="s">
        <v>81</v>
      </c>
      <c r="S4" t="s">
        <v>81</v>
      </c>
      <c r="T4" t="s">
        <v>50</v>
      </c>
      <c r="U4" t="s">
        <v>95</v>
      </c>
      <c r="V4" t="s">
        <v>96</v>
      </c>
      <c r="W4">
        <v>8.5000000000000006E-2</v>
      </c>
      <c r="X4" t="b">
        <v>1</v>
      </c>
      <c r="Y4">
        <f>AK4</f>
        <v>30.16500015375</v>
      </c>
      <c r="Z4">
        <f>AK4</f>
        <v>30.16500015375</v>
      </c>
      <c r="AA4">
        <f>AK4</f>
        <v>30.16500015375</v>
      </c>
      <c r="AB4" t="s">
        <v>104</v>
      </c>
      <c r="AC4" s="19">
        <v>4</v>
      </c>
      <c r="AD4" s="19" t="s">
        <v>133</v>
      </c>
      <c r="AE4" s="6" t="s">
        <v>136</v>
      </c>
      <c r="AF4" s="12"/>
      <c r="AG4" s="13">
        <f>((AA4*2)/W4)/236.5882365</f>
        <v>3</v>
      </c>
      <c r="AH4" s="6">
        <v>3</v>
      </c>
      <c r="AI4" s="6" t="s">
        <v>205</v>
      </c>
      <c r="AJ4" s="6" t="s">
        <v>206</v>
      </c>
      <c r="AK4" s="5">
        <f>(1.5*236.5882365)*0.085</f>
        <v>30.16500015375</v>
      </c>
    </row>
    <row r="5" spans="1:37" s="7" customFormat="1" ht="43.2" x14ac:dyDescent="0.3">
      <c r="A5" s="7" t="s">
        <v>27</v>
      </c>
      <c r="B5" s="7">
        <v>4</v>
      </c>
      <c r="C5" s="7" t="s">
        <v>31</v>
      </c>
      <c r="D5" s="7" t="s">
        <v>43</v>
      </c>
      <c r="E5" s="7">
        <v>3</v>
      </c>
      <c r="F5" s="7">
        <v>3</v>
      </c>
      <c r="G5" s="7" t="b">
        <v>0</v>
      </c>
      <c r="H5" s="7" t="s">
        <v>48</v>
      </c>
      <c r="I5" s="7" t="s">
        <v>53</v>
      </c>
      <c r="J5" s="7" t="s">
        <v>58</v>
      </c>
      <c r="P5" s="7" t="s">
        <v>63</v>
      </c>
      <c r="Q5" s="7" t="s">
        <v>73</v>
      </c>
      <c r="R5" s="7" t="s">
        <v>82</v>
      </c>
      <c r="S5" s="7" t="s">
        <v>82</v>
      </c>
      <c r="T5" s="7" t="s">
        <v>50</v>
      </c>
      <c r="U5" s="8" t="s">
        <v>95</v>
      </c>
      <c r="V5" s="7" t="s">
        <v>97</v>
      </c>
      <c r="W5" s="7">
        <v>0.35499999999999998</v>
      </c>
      <c r="X5" s="7" t="b">
        <v>1</v>
      </c>
      <c r="Y5" s="7">
        <f>AK5</f>
        <v>15.747899399999998</v>
      </c>
      <c r="Z5" s="7">
        <f>AK5</f>
        <v>15.747899399999998</v>
      </c>
      <c r="AA5" s="7">
        <f>AK5</f>
        <v>15.747899399999998</v>
      </c>
      <c r="AB5" s="7" t="s">
        <v>104</v>
      </c>
      <c r="AC5" s="19">
        <v>4</v>
      </c>
      <c r="AD5" s="19" t="s">
        <v>133</v>
      </c>
      <c r="AE5" s="6" t="s">
        <v>134</v>
      </c>
      <c r="AF5" s="12" t="s">
        <v>135</v>
      </c>
      <c r="AG5" s="13">
        <f>(AA5*2)/(AF28*W5)</f>
        <v>5.9999980599204479</v>
      </c>
      <c r="AH5" s="6">
        <v>6</v>
      </c>
      <c r="AI5" s="6" t="s">
        <v>53</v>
      </c>
      <c r="AJ5" s="6" t="s">
        <v>207</v>
      </c>
      <c r="AK5" s="7">
        <f>(3*14.78676)*W5</f>
        <v>15.747899399999998</v>
      </c>
    </row>
    <row r="6" spans="1:37" s="7" customFormat="1" ht="43.2" x14ac:dyDescent="0.3">
      <c r="A6" s="7" t="s">
        <v>27</v>
      </c>
      <c r="B6" s="7">
        <v>5</v>
      </c>
      <c r="C6" s="7" t="s">
        <v>32</v>
      </c>
      <c r="D6" s="7" t="s">
        <v>42</v>
      </c>
      <c r="E6" s="7">
        <v>1</v>
      </c>
      <c r="F6" s="7">
        <v>1</v>
      </c>
      <c r="G6" s="7" t="b">
        <v>0</v>
      </c>
      <c r="H6" s="7" t="s">
        <v>49</v>
      </c>
      <c r="I6" s="7" t="s">
        <v>54</v>
      </c>
      <c r="J6" s="7" t="s">
        <v>58</v>
      </c>
      <c r="P6" s="7" t="s">
        <v>64</v>
      </c>
      <c r="Q6" s="7" t="s">
        <v>74</v>
      </c>
      <c r="R6" s="7" t="s">
        <v>82</v>
      </c>
      <c r="S6" s="7" t="s">
        <v>82</v>
      </c>
      <c r="T6" s="7" t="s">
        <v>50</v>
      </c>
      <c r="U6" s="8" t="s">
        <v>95</v>
      </c>
      <c r="V6" s="7" t="s">
        <v>98</v>
      </c>
      <c r="W6" s="7">
        <v>0.90029999999999999</v>
      </c>
      <c r="X6" s="7" t="b">
        <v>1</v>
      </c>
      <c r="Y6" s="7">
        <f>AK6</f>
        <v>213.00035646000001</v>
      </c>
      <c r="Z6" s="7">
        <f>AK6</f>
        <v>213.00035646000001</v>
      </c>
      <c r="AA6" s="7">
        <f>AK6</f>
        <v>213.00035646000001</v>
      </c>
      <c r="AB6" s="7" t="s">
        <v>104</v>
      </c>
      <c r="AC6" s="19">
        <v>4</v>
      </c>
      <c r="AD6" s="19" t="s">
        <v>133</v>
      </c>
      <c r="AE6" s="6" t="s">
        <v>134</v>
      </c>
      <c r="AF6" s="12" t="s">
        <v>135</v>
      </c>
      <c r="AG6" s="13">
        <f>(AA6*2)/(AF30*W6)</f>
        <v>1.999999691447043</v>
      </c>
      <c r="AH6" s="6">
        <v>2</v>
      </c>
      <c r="AI6" s="6" t="s">
        <v>205</v>
      </c>
      <c r="AJ6" s="14" t="s">
        <v>208</v>
      </c>
      <c r="AK6" s="7">
        <f>(1*236.5882)*0.9003</f>
        <v>213.00035646000001</v>
      </c>
    </row>
    <row r="7" spans="1:37" s="7" customFormat="1" x14ac:dyDescent="0.3">
      <c r="A7" s="7" t="s">
        <v>27</v>
      </c>
      <c r="B7" s="7">
        <v>6</v>
      </c>
      <c r="C7" s="7" t="s">
        <v>33</v>
      </c>
      <c r="D7" s="7" t="s">
        <v>44</v>
      </c>
      <c r="E7" s="7">
        <v>200</v>
      </c>
      <c r="F7" s="7">
        <v>200</v>
      </c>
      <c r="G7" s="7" t="b">
        <v>0</v>
      </c>
      <c r="H7" s="7" t="s">
        <v>50</v>
      </c>
      <c r="I7" s="7" t="s">
        <v>55</v>
      </c>
      <c r="J7" s="7" t="s">
        <v>59</v>
      </c>
      <c r="P7" s="7" t="s">
        <v>65</v>
      </c>
      <c r="Q7" s="7" t="s">
        <v>75</v>
      </c>
      <c r="R7" s="7" t="s">
        <v>83</v>
      </c>
      <c r="S7" s="7" t="s">
        <v>83</v>
      </c>
      <c r="T7" s="7" t="s">
        <v>50</v>
      </c>
      <c r="U7" s="7" t="s">
        <v>87</v>
      </c>
      <c r="X7" s="7" t="b">
        <v>1</v>
      </c>
      <c r="Y7" s="7">
        <v>200</v>
      </c>
      <c r="Z7" s="7">
        <v>200</v>
      </c>
      <c r="AA7" s="7">
        <v>200</v>
      </c>
      <c r="AB7" s="7" t="s">
        <v>105</v>
      </c>
      <c r="AC7" s="19">
        <v>4</v>
      </c>
      <c r="AD7" s="19" t="s">
        <v>133</v>
      </c>
      <c r="AE7" s="6" t="s">
        <v>134</v>
      </c>
      <c r="AF7" s="12"/>
      <c r="AG7" s="13">
        <f>(AA7*2)/AF22</f>
        <v>14.109584779832165</v>
      </c>
      <c r="AH7" s="6">
        <v>14.2</v>
      </c>
      <c r="AI7" s="6" t="s">
        <v>209</v>
      </c>
      <c r="AJ7" s="14" t="s">
        <v>210</v>
      </c>
    </row>
    <row r="8" spans="1:37" s="7" customFormat="1" ht="15.6" x14ac:dyDescent="0.3">
      <c r="A8" s="7" t="s">
        <v>27</v>
      </c>
      <c r="B8" s="7">
        <v>7</v>
      </c>
      <c r="C8" s="7" t="s">
        <v>34</v>
      </c>
      <c r="D8" s="7" t="s">
        <v>42</v>
      </c>
      <c r="E8" s="7">
        <v>1</v>
      </c>
      <c r="F8" s="7">
        <v>1</v>
      </c>
      <c r="G8" s="7" t="b">
        <v>0</v>
      </c>
      <c r="H8" s="7" t="s">
        <v>48</v>
      </c>
      <c r="I8" s="7" t="s">
        <v>53</v>
      </c>
      <c r="J8" s="7" t="s">
        <v>58</v>
      </c>
      <c r="P8" s="7" t="s">
        <v>66</v>
      </c>
      <c r="Q8" s="7" t="s">
        <v>76</v>
      </c>
      <c r="R8" s="7" t="s">
        <v>84</v>
      </c>
      <c r="S8" s="7" t="s">
        <v>84</v>
      </c>
      <c r="T8" s="7" t="s">
        <v>50</v>
      </c>
      <c r="U8" s="8" t="s">
        <v>95</v>
      </c>
      <c r="V8" s="7" t="s">
        <v>100</v>
      </c>
      <c r="W8" s="7">
        <v>0.33</v>
      </c>
      <c r="X8" s="7" t="b">
        <v>1</v>
      </c>
      <c r="Y8" s="7">
        <f>AK8</f>
        <v>4.8796308000000002</v>
      </c>
      <c r="Z8" s="7">
        <f>AK8</f>
        <v>4.8796308000000002</v>
      </c>
      <c r="AA8" s="7">
        <f>AK8</f>
        <v>4.8796308000000002</v>
      </c>
      <c r="AB8" s="7" t="s">
        <v>104</v>
      </c>
      <c r="AC8" s="19">
        <v>4</v>
      </c>
      <c r="AD8" s="19" t="s">
        <v>133</v>
      </c>
      <c r="AE8" s="6" t="s">
        <v>134</v>
      </c>
      <c r="AF8" s="12"/>
      <c r="AG8" s="13">
        <f>(AA8*2)/(AF28*W8)</f>
        <v>1.9999993533068157</v>
      </c>
      <c r="AH8" s="6">
        <v>2</v>
      </c>
      <c r="AI8" s="6" t="s">
        <v>53</v>
      </c>
      <c r="AJ8" s="14" t="s">
        <v>211</v>
      </c>
      <c r="AK8" s="7">
        <f>(1*14.78676)*0.33</f>
        <v>4.8796308000000002</v>
      </c>
    </row>
    <row r="9" spans="1:37" x14ac:dyDescent="0.3">
      <c r="A9" t="s">
        <v>27</v>
      </c>
      <c r="B9">
        <v>8</v>
      </c>
      <c r="C9" t="s">
        <v>35</v>
      </c>
      <c r="D9" t="s">
        <v>45</v>
      </c>
      <c r="E9">
        <v>500</v>
      </c>
      <c r="F9">
        <v>500</v>
      </c>
      <c r="G9" t="b">
        <v>0</v>
      </c>
      <c r="H9" t="s">
        <v>51</v>
      </c>
      <c r="I9" t="s">
        <v>56</v>
      </c>
      <c r="J9" t="s">
        <v>58</v>
      </c>
      <c r="P9" t="s">
        <v>137</v>
      </c>
      <c r="Q9" t="s">
        <v>93</v>
      </c>
      <c r="R9" t="s">
        <v>94</v>
      </c>
      <c r="S9" t="s">
        <v>94</v>
      </c>
      <c r="T9" t="s">
        <v>51</v>
      </c>
      <c r="U9" t="s">
        <v>87</v>
      </c>
      <c r="X9" t="b">
        <v>1</v>
      </c>
      <c r="Y9">
        <v>500</v>
      </c>
      <c r="Z9">
        <v>500</v>
      </c>
      <c r="AA9">
        <v>500</v>
      </c>
      <c r="AB9" t="s">
        <v>106</v>
      </c>
      <c r="AC9" s="19">
        <v>4</v>
      </c>
      <c r="AD9" s="19" t="s">
        <v>133</v>
      </c>
      <c r="AE9" s="6" t="s">
        <v>136</v>
      </c>
      <c r="AF9" s="12"/>
      <c r="AG9" s="13">
        <f>(AA9*2)/AF30</f>
        <v>4.2267528377303751</v>
      </c>
      <c r="AH9" s="15">
        <v>4.25</v>
      </c>
      <c r="AI9" s="6" t="s">
        <v>205</v>
      </c>
      <c r="AJ9" s="14" t="s">
        <v>212</v>
      </c>
    </row>
    <row r="10" spans="1:37" x14ac:dyDescent="0.3">
      <c r="A10" t="s">
        <v>27</v>
      </c>
      <c r="B10">
        <v>9</v>
      </c>
      <c r="C10" t="s">
        <v>36</v>
      </c>
      <c r="D10" t="s">
        <v>42</v>
      </c>
      <c r="E10">
        <v>1</v>
      </c>
      <c r="F10">
        <v>1</v>
      </c>
      <c r="G10" t="b">
        <v>0</v>
      </c>
      <c r="H10" t="s">
        <v>49</v>
      </c>
      <c r="I10" t="s">
        <v>54</v>
      </c>
      <c r="J10" t="s">
        <v>58</v>
      </c>
      <c r="P10" t="s">
        <v>67</v>
      </c>
      <c r="Q10" t="s">
        <v>77</v>
      </c>
      <c r="R10" t="s">
        <v>85</v>
      </c>
      <c r="S10" t="s">
        <v>85</v>
      </c>
      <c r="T10" t="s">
        <v>51</v>
      </c>
      <c r="U10" t="s">
        <v>87</v>
      </c>
      <c r="X10" t="b">
        <v>1</v>
      </c>
      <c r="Y10">
        <f>AK10</f>
        <v>236.58823649999999</v>
      </c>
      <c r="Z10">
        <f>AK10</f>
        <v>236.58823649999999</v>
      </c>
      <c r="AA10">
        <f>AK10</f>
        <v>236.58823649999999</v>
      </c>
      <c r="AB10" t="s">
        <v>106</v>
      </c>
      <c r="AC10" s="19">
        <v>4</v>
      </c>
      <c r="AD10" s="19" t="s">
        <v>133</v>
      </c>
      <c r="AE10" s="6" t="s">
        <v>136</v>
      </c>
      <c r="AF10" s="12"/>
      <c r="AG10" s="13">
        <f>(AA10*2)/AF30</f>
        <v>2</v>
      </c>
      <c r="AH10" s="6">
        <v>2</v>
      </c>
      <c r="AI10" s="6" t="s">
        <v>205</v>
      </c>
      <c r="AJ10" s="14" t="s">
        <v>213</v>
      </c>
      <c r="AK10" s="5">
        <f>1*236.5882365</f>
        <v>236.58823649999999</v>
      </c>
    </row>
    <row r="11" spans="1:37" x14ac:dyDescent="0.3">
      <c r="A11" t="s">
        <v>27</v>
      </c>
      <c r="B11">
        <v>10</v>
      </c>
      <c r="C11" t="s">
        <v>37</v>
      </c>
      <c r="D11" t="s">
        <v>46</v>
      </c>
      <c r="E11">
        <v>100</v>
      </c>
      <c r="F11">
        <v>100</v>
      </c>
      <c r="G11" t="b">
        <v>0</v>
      </c>
      <c r="H11" t="s">
        <v>50</v>
      </c>
      <c r="I11" t="s">
        <v>55</v>
      </c>
      <c r="J11" t="s">
        <v>59</v>
      </c>
      <c r="P11" t="s">
        <v>68</v>
      </c>
      <c r="Q11" t="s">
        <v>78</v>
      </c>
      <c r="R11" t="s">
        <v>85</v>
      </c>
      <c r="S11" t="s">
        <v>85</v>
      </c>
      <c r="T11" t="s">
        <v>51</v>
      </c>
      <c r="U11" t="s">
        <v>99</v>
      </c>
      <c r="V11" t="s">
        <v>101</v>
      </c>
      <c r="W11">
        <v>0.91700000000000004</v>
      </c>
      <c r="X11" t="b">
        <v>1</v>
      </c>
      <c r="Y11">
        <f>AK11</f>
        <v>109.05125408942203</v>
      </c>
      <c r="Z11">
        <f>AK11</f>
        <v>109.05125408942203</v>
      </c>
      <c r="AA11">
        <f>AK11</f>
        <v>109.05125408942203</v>
      </c>
      <c r="AB11" t="s">
        <v>107</v>
      </c>
      <c r="AC11" s="19">
        <v>4</v>
      </c>
      <c r="AD11" s="19" t="s">
        <v>133</v>
      </c>
      <c r="AE11" s="6" t="s">
        <v>136</v>
      </c>
      <c r="AF11" s="12"/>
      <c r="AG11" s="13">
        <f>(AA11*2)/AF30</f>
        <v>0.9218653953610414</v>
      </c>
      <c r="AH11" s="6">
        <v>1</v>
      </c>
      <c r="AI11" s="6" t="s">
        <v>54</v>
      </c>
      <c r="AJ11" s="14" t="s">
        <v>214</v>
      </c>
      <c r="AK11" s="5">
        <f>100/0.917</f>
        <v>109.05125408942203</v>
      </c>
    </row>
    <row r="12" spans="1:37" x14ac:dyDescent="0.3">
      <c r="A12" t="s">
        <v>27</v>
      </c>
      <c r="B12">
        <v>11</v>
      </c>
      <c r="C12" t="s">
        <v>38</v>
      </c>
      <c r="D12" t="s">
        <v>41</v>
      </c>
      <c r="E12">
        <v>2</v>
      </c>
      <c r="F12">
        <v>2</v>
      </c>
      <c r="G12" t="b">
        <v>0</v>
      </c>
      <c r="H12" t="s">
        <v>48</v>
      </c>
      <c r="I12" t="s">
        <v>53</v>
      </c>
      <c r="J12" t="s">
        <v>58</v>
      </c>
      <c r="P12" t="s">
        <v>68</v>
      </c>
      <c r="Q12" t="s">
        <v>78</v>
      </c>
      <c r="R12" t="s">
        <v>85</v>
      </c>
      <c r="S12" t="s">
        <v>85</v>
      </c>
      <c r="T12" t="s">
        <v>51</v>
      </c>
      <c r="U12" t="s">
        <v>87</v>
      </c>
      <c r="X12" t="b">
        <v>1</v>
      </c>
      <c r="Y12">
        <f>AK12</f>
        <v>29.573529562499999</v>
      </c>
      <c r="Z12">
        <f>AK12</f>
        <v>29.573529562499999</v>
      </c>
      <c r="AA12">
        <f>AK12</f>
        <v>29.573529562499999</v>
      </c>
      <c r="AB12" t="s">
        <v>106</v>
      </c>
      <c r="AC12" s="19">
        <v>4</v>
      </c>
      <c r="AD12" s="19" t="s">
        <v>133</v>
      </c>
      <c r="AE12" s="6" t="s">
        <v>136</v>
      </c>
      <c r="AF12" s="12"/>
      <c r="AG12" s="13">
        <f>(AA12*2)/AF30</f>
        <v>0.25</v>
      </c>
      <c r="AH12" s="16" t="s">
        <v>215</v>
      </c>
      <c r="AI12" s="6" t="s">
        <v>54</v>
      </c>
      <c r="AJ12" s="14" t="s">
        <v>216</v>
      </c>
      <c r="AK12" s="5">
        <f>2*14.78676478125</f>
        <v>29.573529562499999</v>
      </c>
    </row>
    <row r="13" spans="1:37" x14ac:dyDescent="0.3">
      <c r="A13" t="s">
        <v>27</v>
      </c>
      <c r="B13">
        <v>12</v>
      </c>
      <c r="C13" t="s">
        <v>39</v>
      </c>
      <c r="D13" t="s">
        <v>42</v>
      </c>
      <c r="E13">
        <v>1</v>
      </c>
      <c r="F13">
        <v>1</v>
      </c>
      <c r="G13" t="b">
        <v>0</v>
      </c>
      <c r="I13" t="s">
        <v>92</v>
      </c>
      <c r="J13" t="s">
        <v>57</v>
      </c>
      <c r="P13" t="s">
        <v>69</v>
      </c>
      <c r="Q13" t="s">
        <v>79</v>
      </c>
      <c r="R13" t="s">
        <v>81</v>
      </c>
      <c r="S13" t="s">
        <v>81</v>
      </c>
      <c r="T13" t="s">
        <v>86</v>
      </c>
      <c r="U13" t="s">
        <v>87</v>
      </c>
      <c r="X13" t="b">
        <v>1</v>
      </c>
      <c r="Y13">
        <v>1</v>
      </c>
      <c r="Z13">
        <v>1</v>
      </c>
      <c r="AA13">
        <v>1</v>
      </c>
      <c r="AB13" t="s">
        <v>57</v>
      </c>
      <c r="AC13" s="19">
        <v>4</v>
      </c>
      <c r="AD13" s="19" t="s">
        <v>133</v>
      </c>
      <c r="AE13" s="6" t="s">
        <v>134</v>
      </c>
      <c r="AF13" s="12"/>
      <c r="AG13" s="13">
        <f>AA13*2</f>
        <v>2</v>
      </c>
      <c r="AH13" s="17">
        <v>2</v>
      </c>
      <c r="AI13" s="6"/>
      <c r="AJ13" s="14" t="s">
        <v>217</v>
      </c>
    </row>
    <row r="14" spans="1:37" ht="43.2" x14ac:dyDescent="0.3">
      <c r="A14" t="s">
        <v>27</v>
      </c>
      <c r="B14">
        <v>13</v>
      </c>
      <c r="C14" t="s">
        <v>40</v>
      </c>
      <c r="D14" t="s">
        <v>42</v>
      </c>
      <c r="E14">
        <v>1</v>
      </c>
      <c r="F14">
        <v>1</v>
      </c>
      <c r="G14" t="b">
        <v>0</v>
      </c>
      <c r="H14" t="s">
        <v>49</v>
      </c>
      <c r="I14" t="s">
        <v>54</v>
      </c>
      <c r="J14" t="s">
        <v>58</v>
      </c>
      <c r="P14" t="s">
        <v>70</v>
      </c>
      <c r="Q14" t="s">
        <v>80</v>
      </c>
      <c r="R14" t="s">
        <v>81</v>
      </c>
      <c r="S14" t="s">
        <v>81</v>
      </c>
      <c r="T14" t="s">
        <v>50</v>
      </c>
      <c r="U14" s="3" t="s">
        <v>95</v>
      </c>
      <c r="V14" t="s">
        <v>103</v>
      </c>
      <c r="W14">
        <v>0.4945</v>
      </c>
      <c r="X14" t="b">
        <v>1</v>
      </c>
      <c r="Y14">
        <f>AK14</f>
        <v>116.9928649</v>
      </c>
      <c r="Z14">
        <f>AK14</f>
        <v>116.9928649</v>
      </c>
      <c r="AA14">
        <f>AK14</f>
        <v>116.9928649</v>
      </c>
      <c r="AB14" t="s">
        <v>104</v>
      </c>
      <c r="AC14" s="19">
        <v>4</v>
      </c>
      <c r="AD14" s="19" t="s">
        <v>133</v>
      </c>
      <c r="AE14" s="6" t="s">
        <v>134</v>
      </c>
      <c r="AF14" s="12" t="s">
        <v>135</v>
      </c>
      <c r="AG14" s="13">
        <f>(AA14*2)/AF30</f>
        <v>0.98899984742056268</v>
      </c>
      <c r="AH14" s="6">
        <v>1</v>
      </c>
      <c r="AI14" s="6" t="s">
        <v>54</v>
      </c>
      <c r="AJ14" s="14" t="s">
        <v>218</v>
      </c>
      <c r="AK14" s="5">
        <f>(1*236.5882)*0.4945</f>
        <v>116.9928649</v>
      </c>
    </row>
    <row r="18" spans="30:34" x14ac:dyDescent="0.3">
      <c r="AD18" s="11" t="s">
        <v>142</v>
      </c>
      <c r="AE18" s="11" t="s">
        <v>143</v>
      </c>
      <c r="AF18" s="11" t="s">
        <v>144</v>
      </c>
      <c r="AG18" s="11" t="s">
        <v>145</v>
      </c>
      <c r="AH18" s="11" t="s">
        <v>146</v>
      </c>
    </row>
    <row r="19" spans="30:34" x14ac:dyDescent="0.3">
      <c r="AD19" t="s">
        <v>50</v>
      </c>
      <c r="AE19" t="s">
        <v>50</v>
      </c>
      <c r="AF19">
        <v>1</v>
      </c>
      <c r="AG19" t="s">
        <v>59</v>
      </c>
      <c r="AH19" t="s">
        <v>147</v>
      </c>
    </row>
    <row r="20" spans="30:34" x14ac:dyDescent="0.3">
      <c r="AD20" t="s">
        <v>148</v>
      </c>
      <c r="AE20" t="s">
        <v>50</v>
      </c>
      <c r="AF20">
        <v>1000</v>
      </c>
      <c r="AG20" t="s">
        <v>59</v>
      </c>
      <c r="AH20" t="s">
        <v>149</v>
      </c>
    </row>
    <row r="21" spans="30:34" x14ac:dyDescent="0.3">
      <c r="AD21" t="s">
        <v>150</v>
      </c>
      <c r="AE21" t="s">
        <v>50</v>
      </c>
      <c r="AF21">
        <v>1E-3</v>
      </c>
      <c r="AG21" t="s">
        <v>59</v>
      </c>
      <c r="AH21" t="s">
        <v>149</v>
      </c>
    </row>
    <row r="22" spans="30:34" x14ac:dyDescent="0.3">
      <c r="AD22" t="s">
        <v>151</v>
      </c>
      <c r="AE22" t="s">
        <v>50</v>
      </c>
      <c r="AF22">
        <v>28.349523125000001</v>
      </c>
      <c r="AG22" t="s">
        <v>59</v>
      </c>
      <c r="AH22" t="s">
        <v>152</v>
      </c>
    </row>
    <row r="23" spans="30:34" x14ac:dyDescent="0.3">
      <c r="AD23" t="s">
        <v>153</v>
      </c>
      <c r="AE23" t="s">
        <v>50</v>
      </c>
      <c r="AF23">
        <v>453.59237000000002</v>
      </c>
      <c r="AG23" t="s">
        <v>59</v>
      </c>
      <c r="AH23" t="s">
        <v>154</v>
      </c>
    </row>
    <row r="24" spans="30:34" x14ac:dyDescent="0.3">
      <c r="AD24" t="s">
        <v>155</v>
      </c>
      <c r="AE24" t="s">
        <v>50</v>
      </c>
      <c r="AF24">
        <v>6350.2931799999997</v>
      </c>
      <c r="AG24" t="s">
        <v>59</v>
      </c>
      <c r="AH24" t="s">
        <v>156</v>
      </c>
    </row>
    <row r="25" spans="30:34" x14ac:dyDescent="0.3">
      <c r="AD25" t="s">
        <v>51</v>
      </c>
      <c r="AE25" t="s">
        <v>51</v>
      </c>
      <c r="AF25">
        <v>1</v>
      </c>
      <c r="AG25" t="s">
        <v>58</v>
      </c>
      <c r="AH25" t="s">
        <v>147</v>
      </c>
    </row>
    <row r="26" spans="30:34" x14ac:dyDescent="0.3">
      <c r="AD26" t="s">
        <v>157</v>
      </c>
      <c r="AE26" t="s">
        <v>51</v>
      </c>
      <c r="AF26">
        <v>1000</v>
      </c>
      <c r="AG26" t="s">
        <v>58</v>
      </c>
      <c r="AH26" t="s">
        <v>149</v>
      </c>
    </row>
    <row r="27" spans="30:34" x14ac:dyDescent="0.3">
      <c r="AD27" t="s">
        <v>158</v>
      </c>
      <c r="AE27" t="s">
        <v>51</v>
      </c>
      <c r="AF27">
        <v>4.9289215937500002</v>
      </c>
      <c r="AG27" t="s">
        <v>58</v>
      </c>
      <c r="AH27" t="s">
        <v>159</v>
      </c>
    </row>
    <row r="28" spans="30:34" x14ac:dyDescent="0.3">
      <c r="AD28" t="s">
        <v>160</v>
      </c>
      <c r="AE28" t="s">
        <v>51</v>
      </c>
      <c r="AF28">
        <v>14.78676478125</v>
      </c>
      <c r="AG28" t="s">
        <v>58</v>
      </c>
      <c r="AH28" t="s">
        <v>161</v>
      </c>
    </row>
    <row r="29" spans="30:34" x14ac:dyDescent="0.3">
      <c r="AD29" t="s">
        <v>162</v>
      </c>
      <c r="AE29" t="s">
        <v>51</v>
      </c>
      <c r="AF29">
        <v>29.573529562499999</v>
      </c>
      <c r="AG29" t="s">
        <v>58</v>
      </c>
      <c r="AH29" t="s">
        <v>163</v>
      </c>
    </row>
    <row r="30" spans="30:34" x14ac:dyDescent="0.3">
      <c r="AD30" t="s">
        <v>164</v>
      </c>
      <c r="AE30" t="s">
        <v>51</v>
      </c>
      <c r="AF30">
        <v>236.58823649999999</v>
      </c>
      <c r="AG30" t="s">
        <v>58</v>
      </c>
      <c r="AH30" t="s">
        <v>165</v>
      </c>
    </row>
    <row r="31" spans="30:34" x14ac:dyDescent="0.3">
      <c r="AD31" t="s">
        <v>166</v>
      </c>
      <c r="AE31" t="s">
        <v>51</v>
      </c>
      <c r="AF31">
        <v>240</v>
      </c>
      <c r="AG31" t="s">
        <v>58</v>
      </c>
      <c r="AH31" t="s">
        <v>167</v>
      </c>
    </row>
    <row r="32" spans="30:34" x14ac:dyDescent="0.3">
      <c r="AD32" t="s">
        <v>168</v>
      </c>
      <c r="AE32" t="s">
        <v>51</v>
      </c>
      <c r="AF32">
        <v>473.17647299999999</v>
      </c>
      <c r="AG32" t="s">
        <v>58</v>
      </c>
      <c r="AH32" t="s">
        <v>169</v>
      </c>
    </row>
    <row r="33" spans="30:34" x14ac:dyDescent="0.3">
      <c r="AD33" t="s">
        <v>170</v>
      </c>
      <c r="AE33" t="s">
        <v>51</v>
      </c>
      <c r="AF33">
        <v>946.35294599999997</v>
      </c>
      <c r="AG33" t="s">
        <v>58</v>
      </c>
      <c r="AH33" t="s">
        <v>171</v>
      </c>
    </row>
    <row r="34" spans="30:34" x14ac:dyDescent="0.3">
      <c r="AD34" t="s">
        <v>172</v>
      </c>
      <c r="AE34" t="s">
        <v>51</v>
      </c>
      <c r="AF34">
        <v>3785.4117839999999</v>
      </c>
      <c r="AG34" t="s">
        <v>58</v>
      </c>
      <c r="AH34" t="s">
        <v>173</v>
      </c>
    </row>
    <row r="35" spans="30:34" x14ac:dyDescent="0.3">
      <c r="AD35" t="s">
        <v>174</v>
      </c>
      <c r="AE35" t="s">
        <v>51</v>
      </c>
      <c r="AF35">
        <v>550.61047135750005</v>
      </c>
      <c r="AG35" t="s">
        <v>58</v>
      </c>
      <c r="AH35" t="s">
        <v>175</v>
      </c>
    </row>
    <row r="36" spans="30:34" x14ac:dyDescent="0.3">
      <c r="AD36" t="s">
        <v>176</v>
      </c>
      <c r="AE36" t="s">
        <v>51</v>
      </c>
      <c r="AF36">
        <v>1101.2209427150001</v>
      </c>
      <c r="AG36" t="s">
        <v>58</v>
      </c>
      <c r="AH36" t="s">
        <v>177</v>
      </c>
    </row>
    <row r="37" spans="30:34" x14ac:dyDescent="0.3">
      <c r="AD37" t="s">
        <v>178</v>
      </c>
      <c r="AE37" t="s">
        <v>51</v>
      </c>
      <c r="AF37">
        <v>28.413062499999999</v>
      </c>
      <c r="AG37" t="s">
        <v>58</v>
      </c>
      <c r="AH37" t="s">
        <v>179</v>
      </c>
    </row>
    <row r="38" spans="30:34" x14ac:dyDescent="0.3">
      <c r="AD38" t="s">
        <v>180</v>
      </c>
      <c r="AE38" t="s">
        <v>51</v>
      </c>
      <c r="AF38">
        <v>568.26125000000002</v>
      </c>
      <c r="AG38" t="s">
        <v>58</v>
      </c>
      <c r="AH38" t="s">
        <v>181</v>
      </c>
    </row>
    <row r="39" spans="30:34" x14ac:dyDescent="0.3">
      <c r="AD39" t="s">
        <v>182</v>
      </c>
      <c r="AE39" t="s">
        <v>51</v>
      </c>
      <c r="AF39">
        <v>1136.5225</v>
      </c>
      <c r="AG39" t="s">
        <v>58</v>
      </c>
      <c r="AH39" t="s">
        <v>183</v>
      </c>
    </row>
    <row r="40" spans="30:34" x14ac:dyDescent="0.3">
      <c r="AD40" t="s">
        <v>184</v>
      </c>
      <c r="AE40" t="s">
        <v>51</v>
      </c>
      <c r="AF40">
        <v>4546.09</v>
      </c>
      <c r="AG40" t="s">
        <v>58</v>
      </c>
      <c r="AH40" t="s">
        <v>185</v>
      </c>
    </row>
    <row r="41" spans="30:34" x14ac:dyDescent="0.3">
      <c r="AD41" t="s">
        <v>186</v>
      </c>
      <c r="AE41" t="s">
        <v>51</v>
      </c>
      <c r="AF41">
        <v>5</v>
      </c>
      <c r="AG41" t="s">
        <v>58</v>
      </c>
      <c r="AH41" t="s">
        <v>187</v>
      </c>
    </row>
    <row r="42" spans="30:34" x14ac:dyDescent="0.3">
      <c r="AD42" t="s">
        <v>188</v>
      </c>
      <c r="AE42" t="s">
        <v>51</v>
      </c>
      <c r="AF42">
        <v>15</v>
      </c>
      <c r="AG42" t="s">
        <v>58</v>
      </c>
      <c r="AH42" t="s">
        <v>189</v>
      </c>
    </row>
    <row r="43" spans="30:34" x14ac:dyDescent="0.3">
      <c r="AD43" t="s">
        <v>190</v>
      </c>
      <c r="AE43" t="s">
        <v>51</v>
      </c>
      <c r="AF43">
        <v>20</v>
      </c>
      <c r="AG43" t="s">
        <v>58</v>
      </c>
      <c r="AH43" t="s">
        <v>191</v>
      </c>
    </row>
    <row r="44" spans="30:34" x14ac:dyDescent="0.3">
      <c r="AD44" t="s">
        <v>192</v>
      </c>
      <c r="AE44" t="s">
        <v>51</v>
      </c>
      <c r="AF44">
        <v>250</v>
      </c>
      <c r="AG44" t="s">
        <v>58</v>
      </c>
      <c r="AH44" t="s">
        <v>193</v>
      </c>
    </row>
    <row r="45" spans="30:34" x14ac:dyDescent="0.3">
      <c r="AD45" t="s">
        <v>194</v>
      </c>
      <c r="AE45" t="s">
        <v>51</v>
      </c>
      <c r="AF45">
        <v>200</v>
      </c>
      <c r="AG45" t="s">
        <v>58</v>
      </c>
      <c r="AH45" t="s">
        <v>195</v>
      </c>
    </row>
    <row r="46" spans="30:34" x14ac:dyDescent="0.3">
      <c r="AD46" t="s">
        <v>196</v>
      </c>
      <c r="AE46" t="s">
        <v>197</v>
      </c>
      <c r="AF46">
        <v>1</v>
      </c>
      <c r="AG46" t="s">
        <v>198</v>
      </c>
      <c r="AH46" t="s">
        <v>199</v>
      </c>
    </row>
    <row r="47" spans="30:34" x14ac:dyDescent="0.3">
      <c r="AD47" t="s">
        <v>200</v>
      </c>
      <c r="AE47" t="s">
        <v>197</v>
      </c>
      <c r="AF47">
        <v>0.55555555555555558</v>
      </c>
      <c r="AG47" t="s">
        <v>198</v>
      </c>
      <c r="AH47" t="s">
        <v>201</v>
      </c>
    </row>
    <row r="48" spans="30:34" x14ac:dyDescent="0.3">
      <c r="AF48"/>
      <c r="AG4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54D0-65E7-4192-B3D8-DFCF1100D4E5}">
  <dimension ref="A1:AK48"/>
  <sheetViews>
    <sheetView topLeftCell="W1" workbookViewId="0">
      <selection activeCell="AJ31" sqref="AJ31"/>
    </sheetView>
  </sheetViews>
  <sheetFormatPr defaultRowHeight="14.4" x14ac:dyDescent="0.3"/>
  <cols>
    <col min="1" max="1" width="26.77734375" customWidth="1"/>
    <col min="2" max="2" width="18.88671875" customWidth="1"/>
    <col min="3" max="3" width="34" customWidth="1"/>
    <col min="4" max="4" width="26.109375" hidden="1" customWidth="1"/>
    <col min="5" max="5" width="0" hidden="1" customWidth="1"/>
    <col min="6" max="6" width="8.33203125" hidden="1" customWidth="1"/>
    <col min="7" max="7" width="28.77734375" hidden="1" customWidth="1"/>
    <col min="8" max="8" width="25.5546875" customWidth="1"/>
    <col min="9" max="9" width="17.5546875" customWidth="1"/>
    <col min="10" max="10" width="20.88671875" customWidth="1"/>
    <col min="11" max="11" width="16.6640625" customWidth="1"/>
    <col min="12" max="12" width="14.88671875" customWidth="1"/>
    <col min="13" max="13" width="16.109375" customWidth="1"/>
    <col min="14" max="14" width="17.5546875" customWidth="1"/>
    <col min="15" max="15" width="8.88671875" customWidth="1"/>
    <col min="16" max="16" width="22.109375" customWidth="1"/>
    <col min="17" max="17" width="25.5546875" customWidth="1"/>
    <col min="18" max="18" width="20.44140625" customWidth="1"/>
    <col min="19" max="19" width="15.109375" customWidth="1"/>
    <col min="20" max="20" width="15.6640625" customWidth="1"/>
    <col min="21" max="21" width="15.109375" customWidth="1"/>
    <col min="22" max="22" width="11.44140625" customWidth="1"/>
    <col min="23" max="23" width="20.5546875" customWidth="1"/>
    <col min="24" max="24" width="20.6640625" customWidth="1"/>
    <col min="25" max="25" width="19.33203125" customWidth="1"/>
    <col min="26" max="26" width="19.77734375" customWidth="1"/>
    <col min="27" max="27" width="14.5546875" customWidth="1"/>
    <col min="28" max="31" width="19.44140625" customWidth="1"/>
    <col min="32" max="32" width="42.5546875" style="9" customWidth="1"/>
    <col min="33" max="33" width="30.77734375" style="9" customWidth="1"/>
    <col min="34" max="35" width="22.77734375" customWidth="1"/>
    <col min="36" max="36" width="31.109375" bestFit="1" customWidth="1"/>
    <col min="37" max="37" width="23.77734375" style="5" hidden="1" customWidth="1"/>
  </cols>
  <sheetData>
    <row r="1" spans="1:37" ht="72" x14ac:dyDescent="0.3">
      <c r="A1" s="1" t="s">
        <v>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8" t="s">
        <v>108</v>
      </c>
      <c r="AD1" s="18" t="s">
        <v>109</v>
      </c>
      <c r="AE1" s="18" t="s">
        <v>111</v>
      </c>
      <c r="AF1" s="20" t="s">
        <v>112</v>
      </c>
      <c r="AG1" s="20" t="s">
        <v>140</v>
      </c>
      <c r="AH1" s="20" t="s">
        <v>141</v>
      </c>
      <c r="AI1" s="18" t="s">
        <v>110</v>
      </c>
      <c r="AJ1" s="20" t="s">
        <v>202</v>
      </c>
      <c r="AK1" s="4" t="s">
        <v>102</v>
      </c>
    </row>
    <row r="2" spans="1:37" x14ac:dyDescent="0.3">
      <c r="A2" t="s">
        <v>27</v>
      </c>
      <c r="B2">
        <v>1</v>
      </c>
      <c r="C2" t="s">
        <v>28</v>
      </c>
      <c r="D2" t="s">
        <v>41</v>
      </c>
      <c r="E2">
        <v>2</v>
      </c>
      <c r="F2">
        <v>2</v>
      </c>
      <c r="G2" t="b">
        <v>0</v>
      </c>
      <c r="H2" t="s">
        <v>47</v>
      </c>
      <c r="I2" t="s">
        <v>52</v>
      </c>
      <c r="J2" t="s">
        <v>57</v>
      </c>
      <c r="P2" t="s">
        <v>61</v>
      </c>
      <c r="Q2" t="s">
        <v>71</v>
      </c>
      <c r="R2" t="s">
        <v>81</v>
      </c>
      <c r="S2" t="s">
        <v>81</v>
      </c>
      <c r="T2" t="s">
        <v>86</v>
      </c>
      <c r="U2" t="s">
        <v>87</v>
      </c>
      <c r="X2" t="b">
        <v>1</v>
      </c>
      <c r="Y2">
        <v>2</v>
      </c>
      <c r="Z2">
        <v>2</v>
      </c>
      <c r="AA2">
        <v>2</v>
      </c>
      <c r="AB2" t="s">
        <v>57</v>
      </c>
      <c r="AC2" s="19">
        <v>4</v>
      </c>
      <c r="AD2" s="19" t="s">
        <v>133</v>
      </c>
      <c r="AE2" s="6" t="s">
        <v>134</v>
      </c>
      <c r="AF2" s="12"/>
      <c r="AG2" s="13">
        <f>AA2*2</f>
        <v>4</v>
      </c>
      <c r="AH2" s="6">
        <v>4</v>
      </c>
      <c r="AI2" s="6"/>
      <c r="AJ2" s="6" t="s">
        <v>203</v>
      </c>
    </row>
    <row r="3" spans="1:37" ht="43.2" x14ac:dyDescent="0.3">
      <c r="A3" t="s">
        <v>27</v>
      </c>
      <c r="B3">
        <v>2</v>
      </c>
      <c r="C3" t="s">
        <v>29</v>
      </c>
      <c r="D3" t="s">
        <v>41</v>
      </c>
      <c r="E3">
        <v>2</v>
      </c>
      <c r="F3">
        <v>2</v>
      </c>
      <c r="G3" t="b">
        <v>0</v>
      </c>
      <c r="H3" t="s">
        <v>90</v>
      </c>
      <c r="I3" t="s">
        <v>91</v>
      </c>
      <c r="J3" t="s">
        <v>57</v>
      </c>
      <c r="K3" t="s">
        <v>60</v>
      </c>
      <c r="P3" t="s">
        <v>138</v>
      </c>
      <c r="Q3" t="s">
        <v>139</v>
      </c>
      <c r="R3" t="s">
        <v>81</v>
      </c>
      <c r="S3" t="s">
        <v>81</v>
      </c>
      <c r="T3" t="s">
        <v>86</v>
      </c>
      <c r="U3" t="s">
        <v>87</v>
      </c>
      <c r="X3" t="b">
        <v>1</v>
      </c>
      <c r="Y3">
        <v>2</v>
      </c>
      <c r="Z3">
        <v>2</v>
      </c>
      <c r="AA3">
        <v>2</v>
      </c>
      <c r="AB3" t="s">
        <v>57</v>
      </c>
      <c r="AC3" s="19">
        <v>4</v>
      </c>
      <c r="AD3" s="19" t="s">
        <v>133</v>
      </c>
      <c r="AE3" s="6" t="s">
        <v>134</v>
      </c>
      <c r="AF3" s="12" t="s">
        <v>135</v>
      </c>
      <c r="AG3" s="13">
        <f>AA3*2</f>
        <v>4</v>
      </c>
      <c r="AH3" s="6">
        <v>4</v>
      </c>
      <c r="AI3" s="6"/>
      <c r="AJ3" s="6" t="s">
        <v>204</v>
      </c>
    </row>
    <row r="4" spans="1:37" x14ac:dyDescent="0.3">
      <c r="A4" t="s">
        <v>27</v>
      </c>
      <c r="B4">
        <v>3</v>
      </c>
      <c r="C4" t="s">
        <v>30</v>
      </c>
      <c r="D4" s="2">
        <v>1.5</v>
      </c>
      <c r="E4" s="2">
        <v>1.5</v>
      </c>
      <c r="F4" s="2">
        <v>1.5</v>
      </c>
      <c r="G4" t="b">
        <v>0</v>
      </c>
      <c r="H4" t="s">
        <v>89</v>
      </c>
      <c r="I4" t="s">
        <v>54</v>
      </c>
      <c r="J4" t="s">
        <v>58</v>
      </c>
      <c r="P4" t="s">
        <v>62</v>
      </c>
      <c r="Q4" t="s">
        <v>72</v>
      </c>
      <c r="R4" t="s">
        <v>81</v>
      </c>
      <c r="S4" t="s">
        <v>81</v>
      </c>
      <c r="T4" t="s">
        <v>50</v>
      </c>
      <c r="U4" t="s">
        <v>95</v>
      </c>
      <c r="V4" t="s">
        <v>96</v>
      </c>
      <c r="W4">
        <v>8.5000000000000006E-2</v>
      </c>
      <c r="X4" t="b">
        <v>1</v>
      </c>
      <c r="Y4">
        <f>AK4</f>
        <v>30.16500015375</v>
      </c>
      <c r="Z4">
        <f>AK4</f>
        <v>30.16500015375</v>
      </c>
      <c r="AA4">
        <f>AK4</f>
        <v>30.16500015375</v>
      </c>
      <c r="AB4" t="s">
        <v>104</v>
      </c>
      <c r="AC4" s="19">
        <v>4</v>
      </c>
      <c r="AD4" s="19" t="s">
        <v>133</v>
      </c>
      <c r="AE4" s="6" t="s">
        <v>136</v>
      </c>
      <c r="AF4" s="12"/>
      <c r="AG4" s="13">
        <f>((AA4*2)/W4)</f>
        <v>709.76470949999998</v>
      </c>
      <c r="AH4" s="6">
        <v>710</v>
      </c>
      <c r="AI4" s="6" t="s">
        <v>56</v>
      </c>
      <c r="AJ4" s="6" t="s">
        <v>219</v>
      </c>
      <c r="AK4" s="5">
        <f>(1.5*236.5882365)*0.085</f>
        <v>30.16500015375</v>
      </c>
    </row>
    <row r="5" spans="1:37" s="7" customFormat="1" ht="43.2" x14ac:dyDescent="0.3">
      <c r="A5" s="7" t="s">
        <v>27</v>
      </c>
      <c r="B5" s="7">
        <v>4</v>
      </c>
      <c r="C5" s="7" t="s">
        <v>31</v>
      </c>
      <c r="D5" s="7" t="s">
        <v>43</v>
      </c>
      <c r="E5" s="7">
        <v>3</v>
      </c>
      <c r="F5" s="7">
        <v>3</v>
      </c>
      <c r="G5" s="7" t="b">
        <v>0</v>
      </c>
      <c r="H5" s="7" t="s">
        <v>48</v>
      </c>
      <c r="I5" s="7" t="s">
        <v>53</v>
      </c>
      <c r="J5" s="7" t="s">
        <v>58</v>
      </c>
      <c r="P5" s="7" t="s">
        <v>63</v>
      </c>
      <c r="Q5" s="7" t="s">
        <v>73</v>
      </c>
      <c r="R5" s="7" t="s">
        <v>82</v>
      </c>
      <c r="S5" s="7" t="s">
        <v>82</v>
      </c>
      <c r="T5" s="7" t="s">
        <v>50</v>
      </c>
      <c r="U5" s="8" t="s">
        <v>95</v>
      </c>
      <c r="V5" s="7" t="s">
        <v>97</v>
      </c>
      <c r="W5" s="7">
        <v>0.35499999999999998</v>
      </c>
      <c r="X5" s="7" t="b">
        <v>1</v>
      </c>
      <c r="Y5" s="7">
        <f>AK5</f>
        <v>15.747899399999998</v>
      </c>
      <c r="Z5" s="7">
        <f>AK5</f>
        <v>15.747899399999998</v>
      </c>
      <c r="AA5" s="7">
        <f>AK5</f>
        <v>15.747899399999998</v>
      </c>
      <c r="AB5" s="7" t="s">
        <v>104</v>
      </c>
      <c r="AC5" s="19">
        <v>4</v>
      </c>
      <c r="AD5" s="19" t="s">
        <v>133</v>
      </c>
      <c r="AE5" s="6" t="s">
        <v>134</v>
      </c>
      <c r="AF5" s="12" t="s">
        <v>135</v>
      </c>
      <c r="AG5" s="13">
        <f>(AA5*2)/(AF28*W5)</f>
        <v>5.9999980599204479</v>
      </c>
      <c r="AH5" s="6">
        <v>6</v>
      </c>
      <c r="AI5" s="6" t="s">
        <v>53</v>
      </c>
      <c r="AJ5" s="6" t="s">
        <v>207</v>
      </c>
      <c r="AK5" s="7">
        <f>(3*14.78676)*W5</f>
        <v>15.747899399999998</v>
      </c>
    </row>
    <row r="6" spans="1:37" s="7" customFormat="1" ht="43.2" x14ac:dyDescent="0.3">
      <c r="A6" s="7" t="s">
        <v>27</v>
      </c>
      <c r="B6" s="7">
        <v>5</v>
      </c>
      <c r="C6" s="7" t="s">
        <v>32</v>
      </c>
      <c r="D6" s="7" t="s">
        <v>42</v>
      </c>
      <c r="E6" s="7">
        <v>1</v>
      </c>
      <c r="F6" s="7">
        <v>1</v>
      </c>
      <c r="G6" s="7" t="b">
        <v>0</v>
      </c>
      <c r="H6" s="7" t="s">
        <v>49</v>
      </c>
      <c r="I6" s="7" t="s">
        <v>54</v>
      </c>
      <c r="J6" s="7" t="s">
        <v>58</v>
      </c>
      <c r="P6" s="7" t="s">
        <v>64</v>
      </c>
      <c r="Q6" s="7" t="s">
        <v>74</v>
      </c>
      <c r="R6" s="7" t="s">
        <v>82</v>
      </c>
      <c r="S6" s="7" t="s">
        <v>82</v>
      </c>
      <c r="T6" s="7" t="s">
        <v>50</v>
      </c>
      <c r="U6" s="8" t="s">
        <v>95</v>
      </c>
      <c r="V6" s="7" t="s">
        <v>98</v>
      </c>
      <c r="W6" s="7">
        <v>0.90029999999999999</v>
      </c>
      <c r="X6" s="7" t="b">
        <v>1</v>
      </c>
      <c r="Y6" s="7">
        <f>AK6</f>
        <v>213.00035646000001</v>
      </c>
      <c r="Z6" s="7">
        <f>AK6</f>
        <v>213.00035646000001</v>
      </c>
      <c r="AA6" s="7">
        <f>AK6</f>
        <v>213.00035646000001</v>
      </c>
      <c r="AB6" s="7" t="s">
        <v>104</v>
      </c>
      <c r="AC6" s="19">
        <v>4</v>
      </c>
      <c r="AD6" s="19" t="s">
        <v>133</v>
      </c>
      <c r="AE6" s="6" t="s">
        <v>134</v>
      </c>
      <c r="AF6" s="12" t="s">
        <v>135</v>
      </c>
      <c r="AG6" s="13">
        <f>((AA6*2)/W6)</f>
        <v>473.1764</v>
      </c>
      <c r="AH6" s="6">
        <v>480</v>
      </c>
      <c r="AI6" s="6" t="s">
        <v>56</v>
      </c>
      <c r="AJ6" s="14" t="s">
        <v>228</v>
      </c>
      <c r="AK6" s="7">
        <f>(1*236.5882)*0.9003</f>
        <v>213.00035646000001</v>
      </c>
    </row>
    <row r="7" spans="1:37" s="7" customFormat="1" x14ac:dyDescent="0.3">
      <c r="A7" s="7" t="s">
        <v>27</v>
      </c>
      <c r="B7" s="7">
        <v>6</v>
      </c>
      <c r="C7" s="7" t="s">
        <v>33</v>
      </c>
      <c r="D7" s="7" t="s">
        <v>44</v>
      </c>
      <c r="E7" s="7">
        <v>200</v>
      </c>
      <c r="F7" s="7">
        <v>200</v>
      </c>
      <c r="G7" s="7" t="b">
        <v>0</v>
      </c>
      <c r="H7" s="7" t="s">
        <v>50</v>
      </c>
      <c r="I7" s="7" t="s">
        <v>55</v>
      </c>
      <c r="J7" s="7" t="s">
        <v>59</v>
      </c>
      <c r="P7" s="7" t="s">
        <v>65</v>
      </c>
      <c r="Q7" s="7" t="s">
        <v>75</v>
      </c>
      <c r="R7" s="7" t="s">
        <v>83</v>
      </c>
      <c r="S7" s="7" t="s">
        <v>83</v>
      </c>
      <c r="T7" s="7" t="s">
        <v>50</v>
      </c>
      <c r="U7" s="7" t="s">
        <v>87</v>
      </c>
      <c r="X7" s="7" t="b">
        <v>1</v>
      </c>
      <c r="Y7" s="7">
        <v>200</v>
      </c>
      <c r="Z7" s="7">
        <v>200</v>
      </c>
      <c r="AA7" s="7">
        <v>200</v>
      </c>
      <c r="AB7" s="7" t="s">
        <v>105</v>
      </c>
      <c r="AC7" s="19">
        <v>4</v>
      </c>
      <c r="AD7" s="19" t="s">
        <v>133</v>
      </c>
      <c r="AE7" s="6" t="s">
        <v>134</v>
      </c>
      <c r="AF7" s="12"/>
      <c r="AG7" s="13">
        <f>(AA7*2)</f>
        <v>400</v>
      </c>
      <c r="AH7" s="6">
        <v>400</v>
      </c>
      <c r="AI7" s="6" t="s">
        <v>55</v>
      </c>
      <c r="AJ7" s="14" t="s">
        <v>221</v>
      </c>
    </row>
    <row r="8" spans="1:37" s="7" customFormat="1" ht="15.6" x14ac:dyDescent="0.3">
      <c r="A8" s="7" t="s">
        <v>27</v>
      </c>
      <c r="B8" s="7">
        <v>7</v>
      </c>
      <c r="C8" s="7" t="s">
        <v>34</v>
      </c>
      <c r="D8" s="7" t="s">
        <v>42</v>
      </c>
      <c r="E8" s="7">
        <v>1</v>
      </c>
      <c r="F8" s="7">
        <v>1</v>
      </c>
      <c r="G8" s="7" t="b">
        <v>0</v>
      </c>
      <c r="H8" s="7" t="s">
        <v>48</v>
      </c>
      <c r="I8" s="7" t="s">
        <v>53</v>
      </c>
      <c r="J8" s="7" t="s">
        <v>58</v>
      </c>
      <c r="P8" s="7" t="s">
        <v>66</v>
      </c>
      <c r="Q8" s="7" t="s">
        <v>76</v>
      </c>
      <c r="R8" s="7" t="s">
        <v>84</v>
      </c>
      <c r="S8" s="7" t="s">
        <v>84</v>
      </c>
      <c r="T8" s="7" t="s">
        <v>50</v>
      </c>
      <c r="U8" s="8" t="s">
        <v>95</v>
      </c>
      <c r="V8" s="7" t="s">
        <v>100</v>
      </c>
      <c r="W8" s="7">
        <v>0.33</v>
      </c>
      <c r="X8" s="7" t="b">
        <v>1</v>
      </c>
      <c r="Y8" s="7">
        <f>AK8</f>
        <v>4.8796308000000002</v>
      </c>
      <c r="Z8" s="7">
        <f>AK8</f>
        <v>4.8796308000000002</v>
      </c>
      <c r="AA8" s="7">
        <f>AK8</f>
        <v>4.8796308000000002</v>
      </c>
      <c r="AB8" s="7" t="s">
        <v>104</v>
      </c>
      <c r="AC8" s="19">
        <v>4</v>
      </c>
      <c r="AD8" s="19" t="s">
        <v>133</v>
      </c>
      <c r="AE8" s="6" t="s">
        <v>134</v>
      </c>
      <c r="AF8" s="12"/>
      <c r="AG8" s="13">
        <f>(AA8*2)/(AF28*W8)</f>
        <v>1.9999993533068157</v>
      </c>
      <c r="AH8" s="6">
        <v>2</v>
      </c>
      <c r="AI8" s="6" t="s">
        <v>53</v>
      </c>
      <c r="AJ8" s="14" t="s">
        <v>211</v>
      </c>
      <c r="AK8" s="7">
        <f>(1*14.78676)*0.33</f>
        <v>4.8796308000000002</v>
      </c>
    </row>
    <row r="9" spans="1:37" x14ac:dyDescent="0.3">
      <c r="A9" t="s">
        <v>27</v>
      </c>
      <c r="B9">
        <v>8</v>
      </c>
      <c r="C9" t="s">
        <v>35</v>
      </c>
      <c r="D9" t="s">
        <v>45</v>
      </c>
      <c r="E9">
        <v>500</v>
      </c>
      <c r="F9">
        <v>500</v>
      </c>
      <c r="G9" t="b">
        <v>0</v>
      </c>
      <c r="H9" t="s">
        <v>51</v>
      </c>
      <c r="I9" t="s">
        <v>56</v>
      </c>
      <c r="J9" t="s">
        <v>58</v>
      </c>
      <c r="P9" t="s">
        <v>137</v>
      </c>
      <c r="Q9" t="s">
        <v>93</v>
      </c>
      <c r="R9" t="s">
        <v>94</v>
      </c>
      <c r="S9" t="s">
        <v>94</v>
      </c>
      <c r="T9" t="s">
        <v>51</v>
      </c>
      <c r="U9" t="s">
        <v>87</v>
      </c>
      <c r="X9" t="b">
        <v>1</v>
      </c>
      <c r="Y9">
        <v>500</v>
      </c>
      <c r="Z9">
        <v>500</v>
      </c>
      <c r="AA9">
        <v>500</v>
      </c>
      <c r="AB9" t="s">
        <v>106</v>
      </c>
      <c r="AC9" s="19">
        <v>4</v>
      </c>
      <c r="AD9" s="19" t="s">
        <v>133</v>
      </c>
      <c r="AE9" s="6" t="s">
        <v>136</v>
      </c>
      <c r="AF9" s="12"/>
      <c r="AG9" s="13">
        <f>(AA9*2)</f>
        <v>1000</v>
      </c>
      <c r="AH9" s="15">
        <v>1</v>
      </c>
      <c r="AI9" s="6" t="s">
        <v>157</v>
      </c>
      <c r="AJ9" s="14" t="s">
        <v>222</v>
      </c>
    </row>
    <row r="10" spans="1:37" x14ac:dyDescent="0.3">
      <c r="A10" t="s">
        <v>27</v>
      </c>
      <c r="B10">
        <v>9</v>
      </c>
      <c r="C10" t="s">
        <v>36</v>
      </c>
      <c r="D10" t="s">
        <v>42</v>
      </c>
      <c r="E10">
        <v>1</v>
      </c>
      <c r="F10">
        <v>1</v>
      </c>
      <c r="G10" t="b">
        <v>0</v>
      </c>
      <c r="H10" t="s">
        <v>49</v>
      </c>
      <c r="I10" t="s">
        <v>54</v>
      </c>
      <c r="J10" t="s">
        <v>58</v>
      </c>
      <c r="P10" t="s">
        <v>67</v>
      </c>
      <c r="Q10" t="s">
        <v>77</v>
      </c>
      <c r="R10" t="s">
        <v>85</v>
      </c>
      <c r="S10" t="s">
        <v>85</v>
      </c>
      <c r="T10" t="s">
        <v>51</v>
      </c>
      <c r="U10" t="s">
        <v>87</v>
      </c>
      <c r="X10" t="b">
        <v>1</v>
      </c>
      <c r="Y10">
        <f>AK10</f>
        <v>236.58823649999999</v>
      </c>
      <c r="Z10">
        <f>AK10</f>
        <v>236.58823649999999</v>
      </c>
      <c r="AA10">
        <f>AK10</f>
        <v>236.58823649999999</v>
      </c>
      <c r="AB10" t="s">
        <v>106</v>
      </c>
      <c r="AC10" s="19">
        <v>4</v>
      </c>
      <c r="AD10" s="19" t="s">
        <v>133</v>
      </c>
      <c r="AE10" s="6" t="s">
        <v>136</v>
      </c>
      <c r="AF10" s="12"/>
      <c r="AG10" s="13">
        <f>(AA10*2)</f>
        <v>473.17647299999999</v>
      </c>
      <c r="AH10" s="6">
        <v>480</v>
      </c>
      <c r="AI10" s="6" t="s">
        <v>56</v>
      </c>
      <c r="AJ10" s="14" t="s">
        <v>223</v>
      </c>
      <c r="AK10" s="5">
        <f>1*236.5882365</f>
        <v>236.58823649999999</v>
      </c>
    </row>
    <row r="11" spans="1:37" x14ac:dyDescent="0.3">
      <c r="A11" t="s">
        <v>27</v>
      </c>
      <c r="B11">
        <v>10</v>
      </c>
      <c r="C11" t="s">
        <v>37</v>
      </c>
      <c r="D11" t="s">
        <v>46</v>
      </c>
      <c r="E11">
        <v>100</v>
      </c>
      <c r="F11">
        <v>100</v>
      </c>
      <c r="G11" t="b">
        <v>0</v>
      </c>
      <c r="H11" t="s">
        <v>50</v>
      </c>
      <c r="I11" t="s">
        <v>55</v>
      </c>
      <c r="J11" t="s">
        <v>59</v>
      </c>
      <c r="P11" t="s">
        <v>68</v>
      </c>
      <c r="Q11" t="s">
        <v>78</v>
      </c>
      <c r="R11" t="s">
        <v>85</v>
      </c>
      <c r="S11" t="s">
        <v>85</v>
      </c>
      <c r="T11" t="s">
        <v>51</v>
      </c>
      <c r="U11" t="s">
        <v>99</v>
      </c>
      <c r="V11" t="s">
        <v>101</v>
      </c>
      <c r="W11">
        <v>0.91700000000000004</v>
      </c>
      <c r="X11" t="b">
        <v>1</v>
      </c>
      <c r="Y11">
        <f>AK11</f>
        <v>109.05125408942203</v>
      </c>
      <c r="Z11">
        <f>AK11</f>
        <v>109.05125408942203</v>
      </c>
      <c r="AA11">
        <f>AK11</f>
        <v>109.05125408942203</v>
      </c>
      <c r="AB11" t="s">
        <v>107</v>
      </c>
      <c r="AC11" s="19">
        <v>4</v>
      </c>
      <c r="AD11" s="19" t="s">
        <v>133</v>
      </c>
      <c r="AE11" s="6" t="s">
        <v>136</v>
      </c>
      <c r="AF11" s="12"/>
      <c r="AG11" s="13">
        <f>(AA11*2)</f>
        <v>218.10250817884406</v>
      </c>
      <c r="AH11" s="6">
        <v>220</v>
      </c>
      <c r="AI11" s="6" t="s">
        <v>56</v>
      </c>
      <c r="AJ11" s="14" t="s">
        <v>227</v>
      </c>
      <c r="AK11" s="5">
        <f>100/0.917</f>
        <v>109.05125408942203</v>
      </c>
    </row>
    <row r="12" spans="1:37" x14ac:dyDescent="0.3">
      <c r="A12" t="s">
        <v>27</v>
      </c>
      <c r="B12">
        <v>11</v>
      </c>
      <c r="C12" t="s">
        <v>38</v>
      </c>
      <c r="D12" t="s">
        <v>41</v>
      </c>
      <c r="E12">
        <v>2</v>
      </c>
      <c r="F12">
        <v>2</v>
      </c>
      <c r="G12" t="b">
        <v>0</v>
      </c>
      <c r="H12" t="s">
        <v>48</v>
      </c>
      <c r="I12" t="s">
        <v>53</v>
      </c>
      <c r="J12" t="s">
        <v>58</v>
      </c>
      <c r="P12" t="s">
        <v>68</v>
      </c>
      <c r="Q12" t="s">
        <v>78</v>
      </c>
      <c r="R12" t="s">
        <v>85</v>
      </c>
      <c r="S12" t="s">
        <v>85</v>
      </c>
      <c r="T12" t="s">
        <v>51</v>
      </c>
      <c r="U12" t="s">
        <v>87</v>
      </c>
      <c r="X12" t="b">
        <v>1</v>
      </c>
      <c r="Y12">
        <f>AK12</f>
        <v>29.573529562499999</v>
      </c>
      <c r="Z12">
        <f>AK12</f>
        <v>29.573529562499999</v>
      </c>
      <c r="AA12">
        <f>AK12</f>
        <v>29.573529562499999</v>
      </c>
      <c r="AB12" t="s">
        <v>106</v>
      </c>
      <c r="AC12" s="19">
        <v>4</v>
      </c>
      <c r="AD12" s="19" t="s">
        <v>133</v>
      </c>
      <c r="AE12" s="6" t="s">
        <v>136</v>
      </c>
      <c r="AF12" s="12"/>
      <c r="AG12" s="13">
        <f>(AA12*2)</f>
        <v>59.147059124999998</v>
      </c>
      <c r="AH12" s="16" t="s">
        <v>225</v>
      </c>
      <c r="AI12" s="6" t="s">
        <v>56</v>
      </c>
      <c r="AJ12" s="14" t="s">
        <v>226</v>
      </c>
      <c r="AK12" s="5">
        <f>2*14.78676478125</f>
        <v>29.573529562499999</v>
      </c>
    </row>
    <row r="13" spans="1:37" x14ac:dyDescent="0.3">
      <c r="A13" t="s">
        <v>27</v>
      </c>
      <c r="B13">
        <v>12</v>
      </c>
      <c r="C13" t="s">
        <v>39</v>
      </c>
      <c r="D13" t="s">
        <v>42</v>
      </c>
      <c r="E13">
        <v>1</v>
      </c>
      <c r="F13">
        <v>1</v>
      </c>
      <c r="G13" t="b">
        <v>0</v>
      </c>
      <c r="I13" t="s">
        <v>92</v>
      </c>
      <c r="J13" t="s">
        <v>57</v>
      </c>
      <c r="P13" t="s">
        <v>69</v>
      </c>
      <c r="Q13" t="s">
        <v>79</v>
      </c>
      <c r="R13" t="s">
        <v>81</v>
      </c>
      <c r="S13" t="s">
        <v>81</v>
      </c>
      <c r="T13" t="s">
        <v>86</v>
      </c>
      <c r="U13" t="s">
        <v>87</v>
      </c>
      <c r="X13" t="b">
        <v>1</v>
      </c>
      <c r="Y13">
        <v>1</v>
      </c>
      <c r="Z13">
        <v>1</v>
      </c>
      <c r="AA13">
        <v>1</v>
      </c>
      <c r="AB13" t="s">
        <v>57</v>
      </c>
      <c r="AC13" s="19">
        <v>4</v>
      </c>
      <c r="AD13" s="19" t="s">
        <v>133</v>
      </c>
      <c r="AE13" s="6" t="s">
        <v>134</v>
      </c>
      <c r="AF13" s="12"/>
      <c r="AG13" s="13">
        <f>AA13*2</f>
        <v>2</v>
      </c>
      <c r="AH13" s="17">
        <v>2</v>
      </c>
      <c r="AI13" s="6"/>
      <c r="AJ13" s="14" t="s">
        <v>217</v>
      </c>
    </row>
    <row r="14" spans="1:37" ht="43.2" x14ac:dyDescent="0.3">
      <c r="A14" t="s">
        <v>27</v>
      </c>
      <c r="B14">
        <v>13</v>
      </c>
      <c r="C14" t="s">
        <v>40</v>
      </c>
      <c r="D14" t="s">
        <v>42</v>
      </c>
      <c r="E14">
        <v>1</v>
      </c>
      <c r="F14">
        <v>1</v>
      </c>
      <c r="G14" t="b">
        <v>0</v>
      </c>
      <c r="H14" t="s">
        <v>49</v>
      </c>
      <c r="I14" t="s">
        <v>54</v>
      </c>
      <c r="J14" t="s">
        <v>58</v>
      </c>
      <c r="P14" t="s">
        <v>70</v>
      </c>
      <c r="Q14" t="s">
        <v>80</v>
      </c>
      <c r="R14" t="s">
        <v>81</v>
      </c>
      <c r="S14" t="s">
        <v>81</v>
      </c>
      <c r="T14" t="s">
        <v>50</v>
      </c>
      <c r="U14" s="3" t="s">
        <v>95</v>
      </c>
      <c r="V14" t="s">
        <v>103</v>
      </c>
      <c r="W14">
        <v>0.4945</v>
      </c>
      <c r="X14" t="b">
        <v>1</v>
      </c>
      <c r="Y14">
        <f>AK14</f>
        <v>116.9928649</v>
      </c>
      <c r="Z14">
        <f>AK14</f>
        <v>116.9928649</v>
      </c>
      <c r="AA14">
        <f>AK14</f>
        <v>116.9928649</v>
      </c>
      <c r="AB14" t="s">
        <v>104</v>
      </c>
      <c r="AC14" s="19">
        <v>4</v>
      </c>
      <c r="AD14" s="19" t="s">
        <v>133</v>
      </c>
      <c r="AE14" s="6" t="s">
        <v>134</v>
      </c>
      <c r="AF14" s="12" t="s">
        <v>135</v>
      </c>
      <c r="AG14" s="13">
        <f>(AA14*2)/W14</f>
        <v>473.1764</v>
      </c>
      <c r="AH14" s="6">
        <v>480</v>
      </c>
      <c r="AI14" s="6" t="s">
        <v>56</v>
      </c>
      <c r="AJ14" s="14" t="s">
        <v>229</v>
      </c>
      <c r="AK14" s="5">
        <f>(1*236.5882)*0.4945</f>
        <v>116.9928649</v>
      </c>
    </row>
    <row r="18" spans="30:34" x14ac:dyDescent="0.3">
      <c r="AD18" s="11" t="s">
        <v>142</v>
      </c>
      <c r="AE18" s="11" t="s">
        <v>143</v>
      </c>
      <c r="AF18" s="11" t="s">
        <v>144</v>
      </c>
      <c r="AG18" s="11" t="s">
        <v>145</v>
      </c>
      <c r="AH18" s="11" t="s">
        <v>146</v>
      </c>
    </row>
    <row r="19" spans="30:34" x14ac:dyDescent="0.3">
      <c r="AD19" t="s">
        <v>50</v>
      </c>
      <c r="AE19" t="s">
        <v>50</v>
      </c>
      <c r="AF19">
        <v>1</v>
      </c>
      <c r="AG19" t="s">
        <v>59</v>
      </c>
      <c r="AH19" t="s">
        <v>147</v>
      </c>
    </row>
    <row r="20" spans="30:34" x14ac:dyDescent="0.3">
      <c r="AD20" t="s">
        <v>148</v>
      </c>
      <c r="AE20" t="s">
        <v>50</v>
      </c>
      <c r="AF20">
        <v>1000</v>
      </c>
      <c r="AG20" t="s">
        <v>59</v>
      </c>
      <c r="AH20" t="s">
        <v>149</v>
      </c>
    </row>
    <row r="21" spans="30:34" x14ac:dyDescent="0.3">
      <c r="AD21" t="s">
        <v>150</v>
      </c>
      <c r="AE21" t="s">
        <v>50</v>
      </c>
      <c r="AF21">
        <v>1E-3</v>
      </c>
      <c r="AG21" t="s">
        <v>59</v>
      </c>
      <c r="AH21" t="s">
        <v>149</v>
      </c>
    </row>
    <row r="22" spans="30:34" x14ac:dyDescent="0.3">
      <c r="AD22" t="s">
        <v>151</v>
      </c>
      <c r="AE22" t="s">
        <v>50</v>
      </c>
      <c r="AF22">
        <v>28.349523125000001</v>
      </c>
      <c r="AG22" t="s">
        <v>59</v>
      </c>
      <c r="AH22" t="s">
        <v>152</v>
      </c>
    </row>
    <row r="23" spans="30:34" x14ac:dyDescent="0.3">
      <c r="AD23" t="s">
        <v>153</v>
      </c>
      <c r="AE23" t="s">
        <v>50</v>
      </c>
      <c r="AF23">
        <v>453.59237000000002</v>
      </c>
      <c r="AG23" t="s">
        <v>59</v>
      </c>
      <c r="AH23" t="s">
        <v>154</v>
      </c>
    </row>
    <row r="24" spans="30:34" x14ac:dyDescent="0.3">
      <c r="AD24" t="s">
        <v>155</v>
      </c>
      <c r="AE24" t="s">
        <v>50</v>
      </c>
      <c r="AF24">
        <v>6350.2931799999997</v>
      </c>
      <c r="AG24" t="s">
        <v>59</v>
      </c>
      <c r="AH24" t="s">
        <v>156</v>
      </c>
    </row>
    <row r="25" spans="30:34" x14ac:dyDescent="0.3">
      <c r="AD25" t="s">
        <v>51</v>
      </c>
      <c r="AE25" t="s">
        <v>51</v>
      </c>
      <c r="AF25">
        <v>1</v>
      </c>
      <c r="AG25" t="s">
        <v>58</v>
      </c>
      <c r="AH25" t="s">
        <v>147</v>
      </c>
    </row>
    <row r="26" spans="30:34" x14ac:dyDescent="0.3">
      <c r="AD26" t="s">
        <v>157</v>
      </c>
      <c r="AE26" t="s">
        <v>51</v>
      </c>
      <c r="AF26">
        <v>1000</v>
      </c>
      <c r="AG26" t="s">
        <v>58</v>
      </c>
      <c r="AH26" t="s">
        <v>149</v>
      </c>
    </row>
    <row r="27" spans="30:34" x14ac:dyDescent="0.3">
      <c r="AD27" t="s">
        <v>158</v>
      </c>
      <c r="AE27" t="s">
        <v>51</v>
      </c>
      <c r="AF27">
        <v>4.9289215937500002</v>
      </c>
      <c r="AG27" t="s">
        <v>58</v>
      </c>
      <c r="AH27" t="s">
        <v>159</v>
      </c>
    </row>
    <row r="28" spans="30:34" x14ac:dyDescent="0.3">
      <c r="AD28" t="s">
        <v>160</v>
      </c>
      <c r="AE28" t="s">
        <v>51</v>
      </c>
      <c r="AF28">
        <v>14.78676478125</v>
      </c>
      <c r="AG28" t="s">
        <v>58</v>
      </c>
      <c r="AH28" t="s">
        <v>161</v>
      </c>
    </row>
    <row r="29" spans="30:34" x14ac:dyDescent="0.3">
      <c r="AD29" t="s">
        <v>162</v>
      </c>
      <c r="AE29" t="s">
        <v>51</v>
      </c>
      <c r="AF29">
        <v>29.573529562499999</v>
      </c>
      <c r="AG29" t="s">
        <v>58</v>
      </c>
      <c r="AH29" t="s">
        <v>163</v>
      </c>
    </row>
    <row r="30" spans="30:34" x14ac:dyDescent="0.3">
      <c r="AD30" t="s">
        <v>164</v>
      </c>
      <c r="AE30" t="s">
        <v>51</v>
      </c>
      <c r="AF30">
        <v>236.58823649999999</v>
      </c>
      <c r="AG30" t="s">
        <v>58</v>
      </c>
      <c r="AH30" t="s">
        <v>165</v>
      </c>
    </row>
    <row r="31" spans="30:34" x14ac:dyDescent="0.3">
      <c r="AD31" t="s">
        <v>166</v>
      </c>
      <c r="AE31" t="s">
        <v>51</v>
      </c>
      <c r="AF31">
        <v>240</v>
      </c>
      <c r="AG31" t="s">
        <v>58</v>
      </c>
      <c r="AH31" t="s">
        <v>167</v>
      </c>
    </row>
    <row r="32" spans="30:34" x14ac:dyDescent="0.3">
      <c r="AD32" t="s">
        <v>168</v>
      </c>
      <c r="AE32" t="s">
        <v>51</v>
      </c>
      <c r="AF32">
        <v>473.17647299999999</v>
      </c>
      <c r="AG32" t="s">
        <v>58</v>
      </c>
      <c r="AH32" t="s">
        <v>169</v>
      </c>
    </row>
    <row r="33" spans="30:34" x14ac:dyDescent="0.3">
      <c r="AD33" t="s">
        <v>170</v>
      </c>
      <c r="AE33" t="s">
        <v>51</v>
      </c>
      <c r="AF33">
        <v>946.35294599999997</v>
      </c>
      <c r="AG33" t="s">
        <v>58</v>
      </c>
      <c r="AH33" t="s">
        <v>171</v>
      </c>
    </row>
    <row r="34" spans="30:34" x14ac:dyDescent="0.3">
      <c r="AD34" t="s">
        <v>172</v>
      </c>
      <c r="AE34" t="s">
        <v>51</v>
      </c>
      <c r="AF34">
        <v>3785.4117839999999</v>
      </c>
      <c r="AG34" t="s">
        <v>58</v>
      </c>
      <c r="AH34" t="s">
        <v>173</v>
      </c>
    </row>
    <row r="35" spans="30:34" x14ac:dyDescent="0.3">
      <c r="AD35" t="s">
        <v>174</v>
      </c>
      <c r="AE35" t="s">
        <v>51</v>
      </c>
      <c r="AF35">
        <v>550.61047135750005</v>
      </c>
      <c r="AG35" t="s">
        <v>58</v>
      </c>
      <c r="AH35" t="s">
        <v>175</v>
      </c>
    </row>
    <row r="36" spans="30:34" x14ac:dyDescent="0.3">
      <c r="AD36" t="s">
        <v>176</v>
      </c>
      <c r="AE36" t="s">
        <v>51</v>
      </c>
      <c r="AF36">
        <v>1101.2209427150001</v>
      </c>
      <c r="AG36" t="s">
        <v>58</v>
      </c>
      <c r="AH36" t="s">
        <v>177</v>
      </c>
    </row>
    <row r="37" spans="30:34" x14ac:dyDescent="0.3">
      <c r="AD37" t="s">
        <v>178</v>
      </c>
      <c r="AE37" t="s">
        <v>51</v>
      </c>
      <c r="AF37">
        <v>28.413062499999999</v>
      </c>
      <c r="AG37" t="s">
        <v>58</v>
      </c>
      <c r="AH37" t="s">
        <v>179</v>
      </c>
    </row>
    <row r="38" spans="30:34" x14ac:dyDescent="0.3">
      <c r="AD38" t="s">
        <v>180</v>
      </c>
      <c r="AE38" t="s">
        <v>51</v>
      </c>
      <c r="AF38">
        <v>568.26125000000002</v>
      </c>
      <c r="AG38" t="s">
        <v>58</v>
      </c>
      <c r="AH38" t="s">
        <v>181</v>
      </c>
    </row>
    <row r="39" spans="30:34" x14ac:dyDescent="0.3">
      <c r="AD39" t="s">
        <v>182</v>
      </c>
      <c r="AE39" t="s">
        <v>51</v>
      </c>
      <c r="AF39">
        <v>1136.5225</v>
      </c>
      <c r="AG39" t="s">
        <v>58</v>
      </c>
      <c r="AH39" t="s">
        <v>183</v>
      </c>
    </row>
    <row r="40" spans="30:34" x14ac:dyDescent="0.3">
      <c r="AD40" t="s">
        <v>184</v>
      </c>
      <c r="AE40" t="s">
        <v>51</v>
      </c>
      <c r="AF40">
        <v>4546.09</v>
      </c>
      <c r="AG40" t="s">
        <v>58</v>
      </c>
      <c r="AH40" t="s">
        <v>185</v>
      </c>
    </row>
    <row r="41" spans="30:34" x14ac:dyDescent="0.3">
      <c r="AD41" t="s">
        <v>186</v>
      </c>
      <c r="AE41" t="s">
        <v>51</v>
      </c>
      <c r="AF41">
        <v>5</v>
      </c>
      <c r="AG41" t="s">
        <v>58</v>
      </c>
      <c r="AH41" t="s">
        <v>187</v>
      </c>
    </row>
    <row r="42" spans="30:34" x14ac:dyDescent="0.3">
      <c r="AD42" t="s">
        <v>188</v>
      </c>
      <c r="AE42" t="s">
        <v>51</v>
      </c>
      <c r="AF42">
        <v>15</v>
      </c>
      <c r="AG42" t="s">
        <v>58</v>
      </c>
      <c r="AH42" t="s">
        <v>189</v>
      </c>
    </row>
    <row r="43" spans="30:34" x14ac:dyDescent="0.3">
      <c r="AD43" t="s">
        <v>190</v>
      </c>
      <c r="AE43" t="s">
        <v>51</v>
      </c>
      <c r="AF43">
        <v>20</v>
      </c>
      <c r="AG43" t="s">
        <v>58</v>
      </c>
      <c r="AH43" t="s">
        <v>191</v>
      </c>
    </row>
    <row r="44" spans="30:34" x14ac:dyDescent="0.3">
      <c r="AD44" t="s">
        <v>192</v>
      </c>
      <c r="AE44" t="s">
        <v>51</v>
      </c>
      <c r="AF44">
        <v>250</v>
      </c>
      <c r="AG44" t="s">
        <v>58</v>
      </c>
      <c r="AH44" t="s">
        <v>193</v>
      </c>
    </row>
    <row r="45" spans="30:34" x14ac:dyDescent="0.3">
      <c r="AD45" t="s">
        <v>194</v>
      </c>
      <c r="AE45" t="s">
        <v>51</v>
      </c>
      <c r="AF45">
        <v>200</v>
      </c>
      <c r="AG45" t="s">
        <v>58</v>
      </c>
      <c r="AH45" t="s">
        <v>195</v>
      </c>
    </row>
    <row r="46" spans="30:34" x14ac:dyDescent="0.3">
      <c r="AD46" t="s">
        <v>196</v>
      </c>
      <c r="AE46" t="s">
        <v>197</v>
      </c>
      <c r="AF46">
        <v>1</v>
      </c>
      <c r="AG46" t="s">
        <v>198</v>
      </c>
      <c r="AH46" t="s">
        <v>199</v>
      </c>
    </row>
    <row r="47" spans="30:34" x14ac:dyDescent="0.3">
      <c r="AD47" t="s">
        <v>200</v>
      </c>
      <c r="AE47" t="s">
        <v>197</v>
      </c>
      <c r="AF47">
        <v>0.55555555555555558</v>
      </c>
      <c r="AG47" t="s">
        <v>198</v>
      </c>
      <c r="AH47" t="s">
        <v>201</v>
      </c>
    </row>
    <row r="48" spans="30:34" x14ac:dyDescent="0.3">
      <c r="AF48"/>
      <c r="AG48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875A-AC66-4346-9EE4-5EC8DF7A3C47}">
  <dimension ref="A1:AK48"/>
  <sheetViews>
    <sheetView topLeftCell="W1" workbookViewId="0">
      <selection activeCell="AF7" sqref="AF7"/>
    </sheetView>
  </sheetViews>
  <sheetFormatPr defaultRowHeight="14.4" x14ac:dyDescent="0.3"/>
  <cols>
    <col min="1" max="1" width="26.77734375" customWidth="1"/>
    <col min="2" max="2" width="18.88671875" customWidth="1"/>
    <col min="3" max="3" width="34" customWidth="1"/>
    <col min="4" max="4" width="26.109375" hidden="1" customWidth="1"/>
    <col min="5" max="5" width="0" hidden="1" customWidth="1"/>
    <col min="6" max="6" width="8.33203125" hidden="1" customWidth="1"/>
    <col min="7" max="7" width="28.77734375" hidden="1" customWidth="1"/>
    <col min="8" max="8" width="25.5546875" customWidth="1"/>
    <col min="9" max="9" width="17.5546875" customWidth="1"/>
    <col min="10" max="10" width="20.88671875" customWidth="1"/>
    <col min="11" max="11" width="16.6640625" customWidth="1"/>
    <col min="12" max="12" width="14.88671875" customWidth="1"/>
    <col min="13" max="13" width="16.109375" customWidth="1"/>
    <col min="14" max="14" width="17.5546875" customWidth="1"/>
    <col min="15" max="15" width="8.88671875" customWidth="1"/>
    <col min="16" max="16" width="22.109375" customWidth="1"/>
    <col min="17" max="17" width="25.5546875" customWidth="1"/>
    <col min="18" max="18" width="20.44140625" customWidth="1"/>
    <col min="19" max="19" width="15.109375" customWidth="1"/>
    <col min="20" max="20" width="15.6640625" customWidth="1"/>
    <col min="21" max="21" width="15.109375" customWidth="1"/>
    <col min="22" max="22" width="11.44140625" customWidth="1"/>
    <col min="23" max="23" width="20.5546875" customWidth="1"/>
    <col min="24" max="24" width="20.6640625" customWidth="1"/>
    <col min="25" max="25" width="19.33203125" customWidth="1"/>
    <col min="26" max="26" width="19.77734375" customWidth="1"/>
    <col min="27" max="27" width="14.5546875" customWidth="1"/>
    <col min="28" max="31" width="19.44140625" customWidth="1"/>
    <col min="32" max="32" width="42.5546875" style="9" customWidth="1"/>
    <col min="33" max="33" width="30.77734375" style="9" customWidth="1"/>
    <col min="34" max="35" width="22.77734375" customWidth="1"/>
    <col min="36" max="36" width="31.109375" bestFit="1" customWidth="1"/>
    <col min="37" max="37" width="23.77734375" style="5" hidden="1" customWidth="1"/>
  </cols>
  <sheetData>
    <row r="1" spans="1:37" ht="72" x14ac:dyDescent="0.3">
      <c r="A1" s="1" t="s">
        <v>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8" t="s">
        <v>108</v>
      </c>
      <c r="AD1" s="18" t="s">
        <v>109</v>
      </c>
      <c r="AE1" s="18" t="s">
        <v>111</v>
      </c>
      <c r="AF1" s="20" t="s">
        <v>112</v>
      </c>
      <c r="AG1" s="20" t="s">
        <v>140</v>
      </c>
      <c r="AH1" s="20" t="s">
        <v>141</v>
      </c>
      <c r="AI1" s="18" t="s">
        <v>110</v>
      </c>
      <c r="AJ1" s="20" t="s">
        <v>202</v>
      </c>
      <c r="AK1" s="4" t="s">
        <v>102</v>
      </c>
    </row>
    <row r="2" spans="1:37" x14ac:dyDescent="0.3">
      <c r="A2" t="s">
        <v>27</v>
      </c>
      <c r="B2">
        <v>1</v>
      </c>
      <c r="C2" t="s">
        <v>28</v>
      </c>
      <c r="D2" t="s">
        <v>41</v>
      </c>
      <c r="E2">
        <v>2</v>
      </c>
      <c r="F2">
        <v>2</v>
      </c>
      <c r="G2" t="b">
        <v>0</v>
      </c>
      <c r="H2" t="s">
        <v>47</v>
      </c>
      <c r="I2" t="s">
        <v>52</v>
      </c>
      <c r="J2" t="s">
        <v>57</v>
      </c>
      <c r="P2" t="s">
        <v>61</v>
      </c>
      <c r="Q2" t="s">
        <v>71</v>
      </c>
      <c r="R2" t="s">
        <v>81</v>
      </c>
      <c r="S2" t="s">
        <v>81</v>
      </c>
      <c r="T2" t="s">
        <v>86</v>
      </c>
      <c r="U2" t="s">
        <v>87</v>
      </c>
      <c r="X2" t="b">
        <v>1</v>
      </c>
      <c r="Y2">
        <v>2</v>
      </c>
      <c r="Z2">
        <v>2</v>
      </c>
      <c r="AA2">
        <v>2</v>
      </c>
      <c r="AB2" t="s">
        <v>57</v>
      </c>
      <c r="AC2" s="19">
        <v>4</v>
      </c>
      <c r="AD2" s="19" t="s">
        <v>133</v>
      </c>
      <c r="AE2" s="6" t="s">
        <v>134</v>
      </c>
      <c r="AF2" s="12"/>
      <c r="AG2" s="13">
        <f>AA2*2</f>
        <v>4</v>
      </c>
      <c r="AH2" s="6">
        <v>4</v>
      </c>
      <c r="AI2" s="6"/>
      <c r="AJ2" s="6" t="s">
        <v>203</v>
      </c>
    </row>
    <row r="3" spans="1:37" ht="43.2" x14ac:dyDescent="0.3">
      <c r="A3" t="s">
        <v>27</v>
      </c>
      <c r="B3">
        <v>2</v>
      </c>
      <c r="C3" t="s">
        <v>29</v>
      </c>
      <c r="D3" t="s">
        <v>41</v>
      </c>
      <c r="E3">
        <v>2</v>
      </c>
      <c r="F3">
        <v>2</v>
      </c>
      <c r="G3" t="b">
        <v>0</v>
      </c>
      <c r="H3" t="s">
        <v>90</v>
      </c>
      <c r="I3" t="s">
        <v>91</v>
      </c>
      <c r="J3" t="s">
        <v>57</v>
      </c>
      <c r="K3" t="s">
        <v>60</v>
      </c>
      <c r="P3" t="s">
        <v>138</v>
      </c>
      <c r="Q3" t="s">
        <v>139</v>
      </c>
      <c r="R3" t="s">
        <v>81</v>
      </c>
      <c r="S3" t="s">
        <v>81</v>
      </c>
      <c r="T3" t="s">
        <v>86</v>
      </c>
      <c r="U3" t="s">
        <v>87</v>
      </c>
      <c r="X3" t="b">
        <v>1</v>
      </c>
      <c r="Y3">
        <v>2</v>
      </c>
      <c r="Z3">
        <v>2</v>
      </c>
      <c r="AA3">
        <v>2</v>
      </c>
      <c r="AB3" t="s">
        <v>57</v>
      </c>
      <c r="AC3" s="19">
        <v>4</v>
      </c>
      <c r="AD3" s="19" t="s">
        <v>133</v>
      </c>
      <c r="AE3" s="6" t="s">
        <v>134</v>
      </c>
      <c r="AF3" s="12" t="s">
        <v>135</v>
      </c>
      <c r="AG3" s="13">
        <f>AA3*2</f>
        <v>4</v>
      </c>
      <c r="AH3" s="6">
        <v>4</v>
      </c>
      <c r="AI3" s="6"/>
      <c r="AJ3" s="6" t="s">
        <v>204</v>
      </c>
    </row>
    <row r="4" spans="1:37" x14ac:dyDescent="0.3">
      <c r="A4" t="s">
        <v>27</v>
      </c>
      <c r="B4">
        <v>3</v>
      </c>
      <c r="C4" t="s">
        <v>30</v>
      </c>
      <c r="D4" s="2">
        <v>1.5</v>
      </c>
      <c r="E4" s="2">
        <v>1.5</v>
      </c>
      <c r="F4" s="2">
        <v>1.5</v>
      </c>
      <c r="G4" t="b">
        <v>0</v>
      </c>
      <c r="H4" t="s">
        <v>89</v>
      </c>
      <c r="I4" t="s">
        <v>54</v>
      </c>
      <c r="J4" t="s">
        <v>58</v>
      </c>
      <c r="P4" t="s">
        <v>62</v>
      </c>
      <c r="Q4" t="s">
        <v>72</v>
      </c>
      <c r="R4" t="s">
        <v>81</v>
      </c>
      <c r="S4" t="s">
        <v>81</v>
      </c>
      <c r="T4" t="s">
        <v>50</v>
      </c>
      <c r="U4" t="s">
        <v>95</v>
      </c>
      <c r="V4" t="s">
        <v>96</v>
      </c>
      <c r="W4">
        <v>8.5000000000000006E-2</v>
      </c>
      <c r="X4" t="b">
        <v>1</v>
      </c>
      <c r="Y4">
        <f>AK4</f>
        <v>30.16500015375</v>
      </c>
      <c r="Z4">
        <f>AK4</f>
        <v>30.16500015375</v>
      </c>
      <c r="AA4">
        <f>AK4</f>
        <v>30.16500015375</v>
      </c>
      <c r="AB4" t="s">
        <v>104</v>
      </c>
      <c r="AC4" s="19">
        <v>4</v>
      </c>
      <c r="AD4" s="19" t="s">
        <v>133</v>
      </c>
      <c r="AE4" s="6" t="s">
        <v>136</v>
      </c>
      <c r="AF4" s="12"/>
      <c r="AG4" s="13">
        <f>((AA4*2)/W4)</f>
        <v>709.76470949999998</v>
      </c>
      <c r="AH4" s="6">
        <v>710</v>
      </c>
      <c r="AI4" s="6" t="s">
        <v>56</v>
      </c>
      <c r="AJ4" s="6" t="s">
        <v>219</v>
      </c>
      <c r="AK4" s="5">
        <f>(1.5*236.5882365)*0.085</f>
        <v>30.16500015375</v>
      </c>
    </row>
    <row r="5" spans="1:37" s="7" customFormat="1" ht="43.2" x14ac:dyDescent="0.3">
      <c r="A5" s="7" t="s">
        <v>27</v>
      </c>
      <c r="B5" s="7">
        <v>4</v>
      </c>
      <c r="C5" s="7" t="s">
        <v>31</v>
      </c>
      <c r="D5" s="7" t="s">
        <v>43</v>
      </c>
      <c r="E5" s="7">
        <v>3</v>
      </c>
      <c r="F5" s="7">
        <v>3</v>
      </c>
      <c r="G5" s="7" t="b">
        <v>0</v>
      </c>
      <c r="H5" s="7" t="s">
        <v>48</v>
      </c>
      <c r="I5" s="7" t="s">
        <v>53</v>
      </c>
      <c r="J5" s="7" t="s">
        <v>58</v>
      </c>
      <c r="P5" s="7" t="s">
        <v>63</v>
      </c>
      <c r="Q5" s="7" t="s">
        <v>73</v>
      </c>
      <c r="R5" s="7" t="s">
        <v>82</v>
      </c>
      <c r="S5" s="7" t="s">
        <v>82</v>
      </c>
      <c r="T5" s="7" t="s">
        <v>50</v>
      </c>
      <c r="U5" s="8" t="s">
        <v>95</v>
      </c>
      <c r="V5" s="7" t="s">
        <v>97</v>
      </c>
      <c r="W5" s="7">
        <v>0.35499999999999998</v>
      </c>
      <c r="X5" s="7" t="b">
        <v>1</v>
      </c>
      <c r="Y5" s="7">
        <f>AK5</f>
        <v>15.747899399999998</v>
      </c>
      <c r="Z5" s="7">
        <f>AK5</f>
        <v>15.747899399999998</v>
      </c>
      <c r="AA5" s="7">
        <f>AK5</f>
        <v>15.747899399999998</v>
      </c>
      <c r="AB5" s="7" t="s">
        <v>104</v>
      </c>
      <c r="AC5" s="19">
        <v>4</v>
      </c>
      <c r="AD5" s="19" t="s">
        <v>133</v>
      </c>
      <c r="AE5" s="6" t="s">
        <v>134</v>
      </c>
      <c r="AF5" s="12" t="s">
        <v>135</v>
      </c>
      <c r="AG5" s="13">
        <f>(AA5*2)/(AF28*W5)</f>
        <v>5.9999980599204479</v>
      </c>
      <c r="AH5" s="6">
        <v>6</v>
      </c>
      <c r="AI5" s="6" t="s">
        <v>53</v>
      </c>
      <c r="AJ5" s="6" t="s">
        <v>207</v>
      </c>
      <c r="AK5" s="7">
        <f>(3*14.78676)*W5</f>
        <v>15.747899399999998</v>
      </c>
    </row>
    <row r="6" spans="1:37" s="7" customFormat="1" ht="43.2" x14ac:dyDescent="0.3">
      <c r="A6" s="7" t="s">
        <v>27</v>
      </c>
      <c r="B6" s="7">
        <v>5</v>
      </c>
      <c r="C6" s="7" t="s">
        <v>32</v>
      </c>
      <c r="D6" s="7" t="s">
        <v>42</v>
      </c>
      <c r="E6" s="7">
        <v>1</v>
      </c>
      <c r="F6" s="7">
        <v>1</v>
      </c>
      <c r="G6" s="7" t="b">
        <v>0</v>
      </c>
      <c r="H6" s="7" t="s">
        <v>49</v>
      </c>
      <c r="I6" s="7" t="s">
        <v>54</v>
      </c>
      <c r="J6" s="7" t="s">
        <v>58</v>
      </c>
      <c r="P6" s="7" t="s">
        <v>64</v>
      </c>
      <c r="Q6" s="7" t="s">
        <v>74</v>
      </c>
      <c r="R6" s="7" t="s">
        <v>82</v>
      </c>
      <c r="S6" s="7" t="s">
        <v>82</v>
      </c>
      <c r="T6" s="7" t="s">
        <v>50</v>
      </c>
      <c r="U6" s="8" t="s">
        <v>95</v>
      </c>
      <c r="V6" s="7" t="s">
        <v>98</v>
      </c>
      <c r="W6" s="7">
        <v>0.90029999999999999</v>
      </c>
      <c r="X6" s="7" t="b">
        <v>1</v>
      </c>
      <c r="Y6" s="7">
        <f>AK6</f>
        <v>213.00035646000001</v>
      </c>
      <c r="Z6" s="7">
        <f>AK6</f>
        <v>213.00035646000001</v>
      </c>
      <c r="AA6" s="7">
        <f>AK6</f>
        <v>213.00035646000001</v>
      </c>
      <c r="AB6" s="7" t="s">
        <v>104</v>
      </c>
      <c r="AC6" s="19">
        <v>4</v>
      </c>
      <c r="AD6" s="19" t="s">
        <v>133</v>
      </c>
      <c r="AE6" s="6" t="s">
        <v>134</v>
      </c>
      <c r="AF6" s="12" t="s">
        <v>135</v>
      </c>
      <c r="AG6" s="13">
        <f>(AA6*2)</f>
        <v>426.00071292000001</v>
      </c>
      <c r="AH6" s="6">
        <v>427</v>
      </c>
      <c r="AI6" s="6" t="s">
        <v>55</v>
      </c>
      <c r="AJ6" s="14" t="s">
        <v>220</v>
      </c>
      <c r="AK6" s="7">
        <f>(1*236.5882)*0.9003</f>
        <v>213.00035646000001</v>
      </c>
    </row>
    <row r="7" spans="1:37" s="7" customFormat="1" x14ac:dyDescent="0.3">
      <c r="A7" s="7" t="s">
        <v>27</v>
      </c>
      <c r="B7" s="7">
        <v>6</v>
      </c>
      <c r="C7" s="7" t="s">
        <v>33</v>
      </c>
      <c r="D7" s="7" t="s">
        <v>44</v>
      </c>
      <c r="E7" s="7">
        <v>200</v>
      </c>
      <c r="F7" s="7">
        <v>200</v>
      </c>
      <c r="G7" s="7" t="b">
        <v>0</v>
      </c>
      <c r="H7" s="7" t="s">
        <v>50</v>
      </c>
      <c r="I7" s="7" t="s">
        <v>55</v>
      </c>
      <c r="J7" s="7" t="s">
        <v>59</v>
      </c>
      <c r="P7" s="7" t="s">
        <v>65</v>
      </c>
      <c r="Q7" s="7" t="s">
        <v>75</v>
      </c>
      <c r="R7" s="7" t="s">
        <v>83</v>
      </c>
      <c r="S7" s="7" t="s">
        <v>83</v>
      </c>
      <c r="T7" s="7" t="s">
        <v>50</v>
      </c>
      <c r="U7" s="7" t="s">
        <v>87</v>
      </c>
      <c r="X7" s="7" t="b">
        <v>1</v>
      </c>
      <c r="Y7" s="7">
        <v>200</v>
      </c>
      <c r="Z7" s="7">
        <v>200</v>
      </c>
      <c r="AA7" s="7">
        <v>200</v>
      </c>
      <c r="AB7" s="7" t="s">
        <v>105</v>
      </c>
      <c r="AC7" s="19">
        <v>4</v>
      </c>
      <c r="AD7" s="19" t="s">
        <v>133</v>
      </c>
      <c r="AE7" s="6" t="s">
        <v>134</v>
      </c>
      <c r="AF7" s="12"/>
      <c r="AG7" s="13">
        <f>(AA7*2)</f>
        <v>400</v>
      </c>
      <c r="AH7" s="6">
        <v>400</v>
      </c>
      <c r="AI7" s="6" t="s">
        <v>55</v>
      </c>
      <c r="AJ7" s="14" t="s">
        <v>221</v>
      </c>
    </row>
    <row r="8" spans="1:37" s="7" customFormat="1" ht="15.6" x14ac:dyDescent="0.3">
      <c r="A8" s="7" t="s">
        <v>27</v>
      </c>
      <c r="B8" s="7">
        <v>7</v>
      </c>
      <c r="C8" s="7" t="s">
        <v>34</v>
      </c>
      <c r="D8" s="7" t="s">
        <v>42</v>
      </c>
      <c r="E8" s="7">
        <v>1</v>
      </c>
      <c r="F8" s="7">
        <v>1</v>
      </c>
      <c r="G8" s="7" t="b">
        <v>0</v>
      </c>
      <c r="H8" s="7" t="s">
        <v>48</v>
      </c>
      <c r="I8" s="7" t="s">
        <v>53</v>
      </c>
      <c r="J8" s="7" t="s">
        <v>58</v>
      </c>
      <c r="P8" s="7" t="s">
        <v>66</v>
      </c>
      <c r="Q8" s="7" t="s">
        <v>76</v>
      </c>
      <c r="R8" s="7" t="s">
        <v>84</v>
      </c>
      <c r="S8" s="7" t="s">
        <v>84</v>
      </c>
      <c r="T8" s="7" t="s">
        <v>50</v>
      </c>
      <c r="U8" s="8" t="s">
        <v>95</v>
      </c>
      <c r="V8" s="7" t="s">
        <v>100</v>
      </c>
      <c r="W8" s="7">
        <v>0.33</v>
      </c>
      <c r="X8" s="7" t="b">
        <v>1</v>
      </c>
      <c r="Y8" s="7">
        <f>AK8</f>
        <v>4.8796308000000002</v>
      </c>
      <c r="Z8" s="7">
        <f>AK8</f>
        <v>4.8796308000000002</v>
      </c>
      <c r="AA8" s="7">
        <f>AK8</f>
        <v>4.8796308000000002</v>
      </c>
      <c r="AB8" s="7" t="s">
        <v>104</v>
      </c>
      <c r="AC8" s="19">
        <v>4</v>
      </c>
      <c r="AD8" s="19" t="s">
        <v>133</v>
      </c>
      <c r="AE8" s="6" t="s">
        <v>134</v>
      </c>
      <c r="AF8" s="12"/>
      <c r="AG8" s="13">
        <f>(AA8*2)/(AF28*W8)</f>
        <v>1.9999993533068157</v>
      </c>
      <c r="AH8" s="6">
        <v>2</v>
      </c>
      <c r="AI8" s="6" t="s">
        <v>53</v>
      </c>
      <c r="AJ8" s="14" t="s">
        <v>211</v>
      </c>
      <c r="AK8" s="7">
        <f>(1*14.78676)*0.33</f>
        <v>4.8796308000000002</v>
      </c>
    </row>
    <row r="9" spans="1:37" x14ac:dyDescent="0.3">
      <c r="A9" t="s">
        <v>27</v>
      </c>
      <c r="B9">
        <v>8</v>
      </c>
      <c r="C9" t="s">
        <v>35</v>
      </c>
      <c r="D9" t="s">
        <v>45</v>
      </c>
      <c r="E9">
        <v>500</v>
      </c>
      <c r="F9">
        <v>500</v>
      </c>
      <c r="G9" t="b">
        <v>0</v>
      </c>
      <c r="H9" t="s">
        <v>51</v>
      </c>
      <c r="I9" t="s">
        <v>56</v>
      </c>
      <c r="J9" t="s">
        <v>58</v>
      </c>
      <c r="P9" t="s">
        <v>137</v>
      </c>
      <c r="Q9" t="s">
        <v>93</v>
      </c>
      <c r="R9" t="s">
        <v>94</v>
      </c>
      <c r="S9" t="s">
        <v>94</v>
      </c>
      <c r="T9" t="s">
        <v>51</v>
      </c>
      <c r="U9" t="s">
        <v>87</v>
      </c>
      <c r="X9" t="b">
        <v>1</v>
      </c>
      <c r="Y9">
        <v>500</v>
      </c>
      <c r="Z9">
        <v>500</v>
      </c>
      <c r="AA9">
        <v>500</v>
      </c>
      <c r="AB9" t="s">
        <v>106</v>
      </c>
      <c r="AC9" s="19">
        <v>4</v>
      </c>
      <c r="AD9" s="19" t="s">
        <v>133</v>
      </c>
      <c r="AE9" s="6" t="s">
        <v>136</v>
      </c>
      <c r="AF9" s="12"/>
      <c r="AG9" s="13">
        <f>(AA9*2)</f>
        <v>1000</v>
      </c>
      <c r="AH9" s="15">
        <v>1</v>
      </c>
      <c r="AI9" s="6" t="s">
        <v>157</v>
      </c>
      <c r="AJ9" s="14" t="s">
        <v>222</v>
      </c>
    </row>
    <row r="10" spans="1:37" x14ac:dyDescent="0.3">
      <c r="A10" t="s">
        <v>27</v>
      </c>
      <c r="B10">
        <v>9</v>
      </c>
      <c r="C10" t="s">
        <v>36</v>
      </c>
      <c r="D10" t="s">
        <v>42</v>
      </c>
      <c r="E10">
        <v>1</v>
      </c>
      <c r="F10">
        <v>1</v>
      </c>
      <c r="G10" t="b">
        <v>0</v>
      </c>
      <c r="H10" t="s">
        <v>49</v>
      </c>
      <c r="I10" t="s">
        <v>54</v>
      </c>
      <c r="J10" t="s">
        <v>58</v>
      </c>
      <c r="P10" t="s">
        <v>67</v>
      </c>
      <c r="Q10" t="s">
        <v>77</v>
      </c>
      <c r="R10" t="s">
        <v>85</v>
      </c>
      <c r="S10" t="s">
        <v>85</v>
      </c>
      <c r="T10" t="s">
        <v>51</v>
      </c>
      <c r="U10" t="s">
        <v>87</v>
      </c>
      <c r="X10" t="b">
        <v>1</v>
      </c>
      <c r="Y10">
        <f>AK10</f>
        <v>236.58823649999999</v>
      </c>
      <c r="Z10">
        <f>AK10</f>
        <v>236.58823649999999</v>
      </c>
      <c r="AA10">
        <f>AK10</f>
        <v>236.58823649999999</v>
      </c>
      <c r="AB10" t="s">
        <v>106</v>
      </c>
      <c r="AC10" s="19">
        <v>4</v>
      </c>
      <c r="AD10" s="19" t="s">
        <v>133</v>
      </c>
      <c r="AE10" s="6" t="s">
        <v>136</v>
      </c>
      <c r="AF10" s="12"/>
      <c r="AG10" s="13">
        <f>(AA10*2)</f>
        <v>473.17647299999999</v>
      </c>
      <c r="AH10" s="6">
        <v>480</v>
      </c>
      <c r="AI10" s="6" t="s">
        <v>56</v>
      </c>
      <c r="AJ10" s="14" t="s">
        <v>223</v>
      </c>
      <c r="AK10" s="5">
        <f>1*236.5882365</f>
        <v>236.58823649999999</v>
      </c>
    </row>
    <row r="11" spans="1:37" x14ac:dyDescent="0.3">
      <c r="A11" t="s">
        <v>27</v>
      </c>
      <c r="B11">
        <v>10</v>
      </c>
      <c r="C11" t="s">
        <v>37</v>
      </c>
      <c r="D11" t="s">
        <v>46</v>
      </c>
      <c r="E11">
        <v>100</v>
      </c>
      <c r="F11">
        <v>100</v>
      </c>
      <c r="G11" t="b">
        <v>0</v>
      </c>
      <c r="H11" t="s">
        <v>50</v>
      </c>
      <c r="I11" t="s">
        <v>55</v>
      </c>
      <c r="J11" t="s">
        <v>59</v>
      </c>
      <c r="P11" t="s">
        <v>68</v>
      </c>
      <c r="Q11" t="s">
        <v>78</v>
      </c>
      <c r="R11" t="s">
        <v>85</v>
      </c>
      <c r="S11" t="s">
        <v>85</v>
      </c>
      <c r="T11" t="s">
        <v>51</v>
      </c>
      <c r="U11" t="s">
        <v>99</v>
      </c>
      <c r="V11" t="s">
        <v>101</v>
      </c>
      <c r="W11">
        <v>0.91700000000000004</v>
      </c>
      <c r="X11" t="b">
        <v>1</v>
      </c>
      <c r="Y11">
        <f>AK11</f>
        <v>109.05125408942203</v>
      </c>
      <c r="Z11">
        <f>AK11</f>
        <v>109.05125408942203</v>
      </c>
      <c r="AA11">
        <f>AK11</f>
        <v>109.05125408942203</v>
      </c>
      <c r="AB11" t="s">
        <v>107</v>
      </c>
      <c r="AC11" s="19">
        <v>4</v>
      </c>
      <c r="AD11" s="19" t="s">
        <v>133</v>
      </c>
      <c r="AE11" s="6" t="s">
        <v>136</v>
      </c>
      <c r="AF11" s="12"/>
      <c r="AG11" s="13">
        <f>(AA11*2)</f>
        <v>218.10250817884406</v>
      </c>
      <c r="AH11" s="6">
        <v>220</v>
      </c>
      <c r="AI11" s="6" t="s">
        <v>56</v>
      </c>
      <c r="AJ11" s="14" t="s">
        <v>227</v>
      </c>
      <c r="AK11" s="5">
        <f>100/0.917</f>
        <v>109.05125408942203</v>
      </c>
    </row>
    <row r="12" spans="1:37" x14ac:dyDescent="0.3">
      <c r="A12" t="s">
        <v>27</v>
      </c>
      <c r="B12">
        <v>11</v>
      </c>
      <c r="C12" t="s">
        <v>38</v>
      </c>
      <c r="D12" t="s">
        <v>41</v>
      </c>
      <c r="E12">
        <v>2</v>
      </c>
      <c r="F12">
        <v>2</v>
      </c>
      <c r="G12" t="b">
        <v>0</v>
      </c>
      <c r="H12" t="s">
        <v>48</v>
      </c>
      <c r="I12" t="s">
        <v>53</v>
      </c>
      <c r="J12" t="s">
        <v>58</v>
      </c>
      <c r="P12" t="s">
        <v>68</v>
      </c>
      <c r="Q12" t="s">
        <v>78</v>
      </c>
      <c r="R12" t="s">
        <v>85</v>
      </c>
      <c r="S12" t="s">
        <v>85</v>
      </c>
      <c r="T12" t="s">
        <v>51</v>
      </c>
      <c r="U12" t="s">
        <v>87</v>
      </c>
      <c r="X12" t="b">
        <v>1</v>
      </c>
      <c r="Y12">
        <f>AK12</f>
        <v>29.573529562499999</v>
      </c>
      <c r="Z12">
        <f>AK12</f>
        <v>29.573529562499999</v>
      </c>
      <c r="AA12">
        <f>AK12</f>
        <v>29.573529562499999</v>
      </c>
      <c r="AB12" t="s">
        <v>106</v>
      </c>
      <c r="AC12" s="19">
        <v>4</v>
      </c>
      <c r="AD12" s="19" t="s">
        <v>133</v>
      </c>
      <c r="AE12" s="6" t="s">
        <v>136</v>
      </c>
      <c r="AF12" s="12"/>
      <c r="AG12" s="13">
        <f>(AA12*2)</f>
        <v>59.147059124999998</v>
      </c>
      <c r="AH12" s="16" t="s">
        <v>225</v>
      </c>
      <c r="AI12" s="6" t="s">
        <v>56</v>
      </c>
      <c r="AJ12" s="14" t="s">
        <v>226</v>
      </c>
      <c r="AK12" s="5">
        <f>2*14.78676478125</f>
        <v>29.573529562499999</v>
      </c>
    </row>
    <row r="13" spans="1:37" x14ac:dyDescent="0.3">
      <c r="A13" t="s">
        <v>27</v>
      </c>
      <c r="B13">
        <v>12</v>
      </c>
      <c r="C13" t="s">
        <v>39</v>
      </c>
      <c r="D13" t="s">
        <v>42</v>
      </c>
      <c r="E13">
        <v>1</v>
      </c>
      <c r="F13">
        <v>1</v>
      </c>
      <c r="G13" t="b">
        <v>0</v>
      </c>
      <c r="I13" t="s">
        <v>92</v>
      </c>
      <c r="J13" t="s">
        <v>57</v>
      </c>
      <c r="P13" t="s">
        <v>69</v>
      </c>
      <c r="Q13" t="s">
        <v>79</v>
      </c>
      <c r="R13" t="s">
        <v>81</v>
      </c>
      <c r="S13" t="s">
        <v>81</v>
      </c>
      <c r="T13" t="s">
        <v>86</v>
      </c>
      <c r="U13" t="s">
        <v>87</v>
      </c>
      <c r="X13" t="b">
        <v>1</v>
      </c>
      <c r="Y13">
        <v>1</v>
      </c>
      <c r="Z13">
        <v>1</v>
      </c>
      <c r="AA13">
        <v>1</v>
      </c>
      <c r="AB13" t="s">
        <v>57</v>
      </c>
      <c r="AC13" s="19">
        <v>4</v>
      </c>
      <c r="AD13" s="19" t="s">
        <v>133</v>
      </c>
      <c r="AE13" s="6" t="s">
        <v>134</v>
      </c>
      <c r="AF13" s="12"/>
      <c r="AG13" s="13">
        <f>AA13*2</f>
        <v>2</v>
      </c>
      <c r="AH13" s="17">
        <v>2</v>
      </c>
      <c r="AI13" s="6"/>
      <c r="AJ13" s="14" t="s">
        <v>217</v>
      </c>
    </row>
    <row r="14" spans="1:37" ht="43.2" x14ac:dyDescent="0.3">
      <c r="A14" t="s">
        <v>27</v>
      </c>
      <c r="B14">
        <v>13</v>
      </c>
      <c r="C14" t="s">
        <v>40</v>
      </c>
      <c r="D14" t="s">
        <v>42</v>
      </c>
      <c r="E14">
        <v>1</v>
      </c>
      <c r="F14">
        <v>1</v>
      </c>
      <c r="G14" t="b">
        <v>0</v>
      </c>
      <c r="H14" t="s">
        <v>49</v>
      </c>
      <c r="I14" t="s">
        <v>54</v>
      </c>
      <c r="J14" t="s">
        <v>58</v>
      </c>
      <c r="P14" t="s">
        <v>70</v>
      </c>
      <c r="Q14" t="s">
        <v>80</v>
      </c>
      <c r="R14" t="s">
        <v>81</v>
      </c>
      <c r="S14" t="s">
        <v>81</v>
      </c>
      <c r="T14" t="s">
        <v>50</v>
      </c>
      <c r="U14" s="3" t="s">
        <v>95</v>
      </c>
      <c r="V14" t="s">
        <v>103</v>
      </c>
      <c r="W14">
        <v>0.4945</v>
      </c>
      <c r="X14" t="b">
        <v>1</v>
      </c>
      <c r="Y14">
        <f>AK14</f>
        <v>116.9928649</v>
      </c>
      <c r="Z14">
        <f>AK14</f>
        <v>116.9928649</v>
      </c>
      <c r="AA14">
        <f>AK14</f>
        <v>116.9928649</v>
      </c>
      <c r="AB14" t="s">
        <v>104</v>
      </c>
      <c r="AC14" s="19">
        <v>4</v>
      </c>
      <c r="AD14" s="19" t="s">
        <v>133</v>
      </c>
      <c r="AE14" s="6" t="s">
        <v>134</v>
      </c>
      <c r="AF14" s="12" t="s">
        <v>135</v>
      </c>
      <c r="AG14" s="13">
        <f>(AA14*2)</f>
        <v>233.9857298</v>
      </c>
      <c r="AH14" s="6">
        <v>240</v>
      </c>
      <c r="AI14" s="6" t="s">
        <v>55</v>
      </c>
      <c r="AJ14" s="14" t="s">
        <v>224</v>
      </c>
      <c r="AK14" s="5">
        <f>(1*236.5882)*0.4945</f>
        <v>116.9928649</v>
      </c>
    </row>
    <row r="18" spans="30:34" x14ac:dyDescent="0.3">
      <c r="AD18" s="11" t="s">
        <v>142</v>
      </c>
      <c r="AE18" s="11" t="s">
        <v>143</v>
      </c>
      <c r="AF18" s="11" t="s">
        <v>144</v>
      </c>
      <c r="AG18" s="11" t="s">
        <v>145</v>
      </c>
      <c r="AH18" s="11" t="s">
        <v>146</v>
      </c>
    </row>
    <row r="19" spans="30:34" x14ac:dyDescent="0.3">
      <c r="AD19" t="s">
        <v>50</v>
      </c>
      <c r="AE19" t="s">
        <v>50</v>
      </c>
      <c r="AF19">
        <v>1</v>
      </c>
      <c r="AG19" t="s">
        <v>59</v>
      </c>
      <c r="AH19" t="s">
        <v>147</v>
      </c>
    </row>
    <row r="20" spans="30:34" x14ac:dyDescent="0.3">
      <c r="AD20" t="s">
        <v>148</v>
      </c>
      <c r="AE20" t="s">
        <v>50</v>
      </c>
      <c r="AF20">
        <v>1000</v>
      </c>
      <c r="AG20" t="s">
        <v>59</v>
      </c>
      <c r="AH20" t="s">
        <v>149</v>
      </c>
    </row>
    <row r="21" spans="30:34" x14ac:dyDescent="0.3">
      <c r="AD21" t="s">
        <v>150</v>
      </c>
      <c r="AE21" t="s">
        <v>50</v>
      </c>
      <c r="AF21">
        <v>1E-3</v>
      </c>
      <c r="AG21" t="s">
        <v>59</v>
      </c>
      <c r="AH21" t="s">
        <v>149</v>
      </c>
    </row>
    <row r="22" spans="30:34" x14ac:dyDescent="0.3">
      <c r="AD22" t="s">
        <v>151</v>
      </c>
      <c r="AE22" t="s">
        <v>50</v>
      </c>
      <c r="AF22">
        <v>28.349523125000001</v>
      </c>
      <c r="AG22" t="s">
        <v>59</v>
      </c>
      <c r="AH22" t="s">
        <v>152</v>
      </c>
    </row>
    <row r="23" spans="30:34" x14ac:dyDescent="0.3">
      <c r="AD23" t="s">
        <v>153</v>
      </c>
      <c r="AE23" t="s">
        <v>50</v>
      </c>
      <c r="AF23">
        <v>453.59237000000002</v>
      </c>
      <c r="AG23" t="s">
        <v>59</v>
      </c>
      <c r="AH23" t="s">
        <v>154</v>
      </c>
    </row>
    <row r="24" spans="30:34" x14ac:dyDescent="0.3">
      <c r="AD24" t="s">
        <v>155</v>
      </c>
      <c r="AE24" t="s">
        <v>50</v>
      </c>
      <c r="AF24">
        <v>6350.2931799999997</v>
      </c>
      <c r="AG24" t="s">
        <v>59</v>
      </c>
      <c r="AH24" t="s">
        <v>156</v>
      </c>
    </row>
    <row r="25" spans="30:34" x14ac:dyDescent="0.3">
      <c r="AD25" t="s">
        <v>51</v>
      </c>
      <c r="AE25" t="s">
        <v>51</v>
      </c>
      <c r="AF25">
        <v>1</v>
      </c>
      <c r="AG25" t="s">
        <v>58</v>
      </c>
      <c r="AH25" t="s">
        <v>147</v>
      </c>
    </row>
    <row r="26" spans="30:34" x14ac:dyDescent="0.3">
      <c r="AD26" t="s">
        <v>157</v>
      </c>
      <c r="AE26" t="s">
        <v>51</v>
      </c>
      <c r="AF26">
        <v>1000</v>
      </c>
      <c r="AG26" t="s">
        <v>58</v>
      </c>
      <c r="AH26" t="s">
        <v>149</v>
      </c>
    </row>
    <row r="27" spans="30:34" x14ac:dyDescent="0.3">
      <c r="AD27" t="s">
        <v>158</v>
      </c>
      <c r="AE27" t="s">
        <v>51</v>
      </c>
      <c r="AF27">
        <v>4.9289215937500002</v>
      </c>
      <c r="AG27" t="s">
        <v>58</v>
      </c>
      <c r="AH27" t="s">
        <v>159</v>
      </c>
    </row>
    <row r="28" spans="30:34" x14ac:dyDescent="0.3">
      <c r="AD28" t="s">
        <v>160</v>
      </c>
      <c r="AE28" t="s">
        <v>51</v>
      </c>
      <c r="AF28">
        <v>14.78676478125</v>
      </c>
      <c r="AG28" t="s">
        <v>58</v>
      </c>
      <c r="AH28" t="s">
        <v>161</v>
      </c>
    </row>
    <row r="29" spans="30:34" x14ac:dyDescent="0.3">
      <c r="AD29" t="s">
        <v>162</v>
      </c>
      <c r="AE29" t="s">
        <v>51</v>
      </c>
      <c r="AF29">
        <v>29.573529562499999</v>
      </c>
      <c r="AG29" t="s">
        <v>58</v>
      </c>
      <c r="AH29" t="s">
        <v>163</v>
      </c>
    </row>
    <row r="30" spans="30:34" x14ac:dyDescent="0.3">
      <c r="AD30" t="s">
        <v>164</v>
      </c>
      <c r="AE30" t="s">
        <v>51</v>
      </c>
      <c r="AF30">
        <v>236.58823649999999</v>
      </c>
      <c r="AG30" t="s">
        <v>58</v>
      </c>
      <c r="AH30" t="s">
        <v>165</v>
      </c>
    </row>
    <row r="31" spans="30:34" x14ac:dyDescent="0.3">
      <c r="AD31" t="s">
        <v>166</v>
      </c>
      <c r="AE31" t="s">
        <v>51</v>
      </c>
      <c r="AF31">
        <v>240</v>
      </c>
      <c r="AG31" t="s">
        <v>58</v>
      </c>
      <c r="AH31" t="s">
        <v>167</v>
      </c>
    </row>
    <row r="32" spans="30:34" x14ac:dyDescent="0.3">
      <c r="AD32" t="s">
        <v>168</v>
      </c>
      <c r="AE32" t="s">
        <v>51</v>
      </c>
      <c r="AF32">
        <v>473.17647299999999</v>
      </c>
      <c r="AG32" t="s">
        <v>58</v>
      </c>
      <c r="AH32" t="s">
        <v>169</v>
      </c>
    </row>
    <row r="33" spans="30:34" x14ac:dyDescent="0.3">
      <c r="AD33" t="s">
        <v>170</v>
      </c>
      <c r="AE33" t="s">
        <v>51</v>
      </c>
      <c r="AF33">
        <v>946.35294599999997</v>
      </c>
      <c r="AG33" t="s">
        <v>58</v>
      </c>
      <c r="AH33" t="s">
        <v>171</v>
      </c>
    </row>
    <row r="34" spans="30:34" x14ac:dyDescent="0.3">
      <c r="AD34" t="s">
        <v>172</v>
      </c>
      <c r="AE34" t="s">
        <v>51</v>
      </c>
      <c r="AF34">
        <v>3785.4117839999999</v>
      </c>
      <c r="AG34" t="s">
        <v>58</v>
      </c>
      <c r="AH34" t="s">
        <v>173</v>
      </c>
    </row>
    <row r="35" spans="30:34" x14ac:dyDescent="0.3">
      <c r="AD35" t="s">
        <v>174</v>
      </c>
      <c r="AE35" t="s">
        <v>51</v>
      </c>
      <c r="AF35">
        <v>550.61047135750005</v>
      </c>
      <c r="AG35" t="s">
        <v>58</v>
      </c>
      <c r="AH35" t="s">
        <v>175</v>
      </c>
    </row>
    <row r="36" spans="30:34" x14ac:dyDescent="0.3">
      <c r="AD36" t="s">
        <v>176</v>
      </c>
      <c r="AE36" t="s">
        <v>51</v>
      </c>
      <c r="AF36">
        <v>1101.2209427150001</v>
      </c>
      <c r="AG36" t="s">
        <v>58</v>
      </c>
      <c r="AH36" t="s">
        <v>177</v>
      </c>
    </row>
    <row r="37" spans="30:34" x14ac:dyDescent="0.3">
      <c r="AD37" t="s">
        <v>178</v>
      </c>
      <c r="AE37" t="s">
        <v>51</v>
      </c>
      <c r="AF37">
        <v>28.413062499999999</v>
      </c>
      <c r="AG37" t="s">
        <v>58</v>
      </c>
      <c r="AH37" t="s">
        <v>179</v>
      </c>
    </row>
    <row r="38" spans="30:34" x14ac:dyDescent="0.3">
      <c r="AD38" t="s">
        <v>180</v>
      </c>
      <c r="AE38" t="s">
        <v>51</v>
      </c>
      <c r="AF38">
        <v>568.26125000000002</v>
      </c>
      <c r="AG38" t="s">
        <v>58</v>
      </c>
      <c r="AH38" t="s">
        <v>181</v>
      </c>
    </row>
    <row r="39" spans="30:34" x14ac:dyDescent="0.3">
      <c r="AD39" t="s">
        <v>182</v>
      </c>
      <c r="AE39" t="s">
        <v>51</v>
      </c>
      <c r="AF39">
        <v>1136.5225</v>
      </c>
      <c r="AG39" t="s">
        <v>58</v>
      </c>
      <c r="AH39" t="s">
        <v>183</v>
      </c>
    </row>
    <row r="40" spans="30:34" x14ac:dyDescent="0.3">
      <c r="AD40" t="s">
        <v>184</v>
      </c>
      <c r="AE40" t="s">
        <v>51</v>
      </c>
      <c r="AF40">
        <v>4546.09</v>
      </c>
      <c r="AG40" t="s">
        <v>58</v>
      </c>
      <c r="AH40" t="s">
        <v>185</v>
      </c>
    </row>
    <row r="41" spans="30:34" x14ac:dyDescent="0.3">
      <c r="AD41" t="s">
        <v>186</v>
      </c>
      <c r="AE41" t="s">
        <v>51</v>
      </c>
      <c r="AF41">
        <v>5</v>
      </c>
      <c r="AG41" t="s">
        <v>58</v>
      </c>
      <c r="AH41" t="s">
        <v>187</v>
      </c>
    </row>
    <row r="42" spans="30:34" x14ac:dyDescent="0.3">
      <c r="AD42" t="s">
        <v>188</v>
      </c>
      <c r="AE42" t="s">
        <v>51</v>
      </c>
      <c r="AF42">
        <v>15</v>
      </c>
      <c r="AG42" t="s">
        <v>58</v>
      </c>
      <c r="AH42" t="s">
        <v>189</v>
      </c>
    </row>
    <row r="43" spans="30:34" x14ac:dyDescent="0.3">
      <c r="AD43" t="s">
        <v>190</v>
      </c>
      <c r="AE43" t="s">
        <v>51</v>
      </c>
      <c r="AF43">
        <v>20</v>
      </c>
      <c r="AG43" t="s">
        <v>58</v>
      </c>
      <c r="AH43" t="s">
        <v>191</v>
      </c>
    </row>
    <row r="44" spans="30:34" x14ac:dyDescent="0.3">
      <c r="AD44" t="s">
        <v>192</v>
      </c>
      <c r="AE44" t="s">
        <v>51</v>
      </c>
      <c r="AF44">
        <v>250</v>
      </c>
      <c r="AG44" t="s">
        <v>58</v>
      </c>
      <c r="AH44" t="s">
        <v>193</v>
      </c>
    </row>
    <row r="45" spans="30:34" x14ac:dyDescent="0.3">
      <c r="AD45" t="s">
        <v>194</v>
      </c>
      <c r="AE45" t="s">
        <v>51</v>
      </c>
      <c r="AF45">
        <v>200</v>
      </c>
      <c r="AG45" t="s">
        <v>58</v>
      </c>
      <c r="AH45" t="s">
        <v>195</v>
      </c>
    </row>
    <row r="46" spans="30:34" x14ac:dyDescent="0.3">
      <c r="AD46" t="s">
        <v>196</v>
      </c>
      <c r="AE46" t="s">
        <v>197</v>
      </c>
      <c r="AF46">
        <v>1</v>
      </c>
      <c r="AG46" t="s">
        <v>198</v>
      </c>
      <c r="AH46" t="s">
        <v>199</v>
      </c>
    </row>
    <row r="47" spans="30:34" x14ac:dyDescent="0.3">
      <c r="AD47" t="s">
        <v>200</v>
      </c>
      <c r="AE47" t="s">
        <v>197</v>
      </c>
      <c r="AF47">
        <v>0.55555555555555558</v>
      </c>
      <c r="AG47" t="s">
        <v>198</v>
      </c>
      <c r="AH47" t="s">
        <v>201</v>
      </c>
    </row>
    <row r="48" spans="30:34" x14ac:dyDescent="0.3">
      <c r="AF48"/>
      <c r="AG4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F55C21-8B5C-4657-A91A-8DBB888C5D3B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customXml/itemProps2.xml><?xml version="1.0" encoding="utf-8"?>
<ds:datastoreItem xmlns:ds="http://schemas.openxmlformats.org/officeDocument/2006/customXml" ds:itemID="{B6E30BD0-6A9D-4CC3-9080-CFFB22F2A5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97C5F-3F25-4C50-8051-A6292B271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Recipe</vt:lpstr>
      <vt:lpstr>Stage2_Output</vt:lpstr>
      <vt:lpstr>US</vt:lpstr>
      <vt:lpstr>CA, AU, NZ</vt:lpstr>
      <vt:lpstr>Anything not US, CA, AU, 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Wilson</cp:lastModifiedBy>
  <dcterms:created xsi:type="dcterms:W3CDTF">2025-11-26T19:09:27Z</dcterms:created>
  <dcterms:modified xsi:type="dcterms:W3CDTF">2025-12-18T04:25:48Z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</Properties>
</file>