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ilson\Downloads\"/>
    </mc:Choice>
  </mc:AlternateContent>
  <xr:revisionPtr revIDLastSave="0" documentId="13_ncr:1_{A0B0D63A-1DD8-4610-95C4-05DCCAE9A4E1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tage2_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" i="1" l="1"/>
  <c r="Y12" i="1" s="1"/>
  <c r="AD10" i="1"/>
  <c r="Z10" i="1" s="1"/>
  <c r="Y5" i="1"/>
  <c r="Y6" i="1"/>
  <c r="Y8" i="1"/>
  <c r="Y11" i="1"/>
  <c r="Y14" i="1"/>
  <c r="Y4" i="1"/>
  <c r="AD14" i="1"/>
  <c r="AA14" i="1" s="1"/>
  <c r="AD11" i="1"/>
  <c r="AD8" i="1"/>
  <c r="AA8" i="1" s="1"/>
  <c r="AD6" i="1"/>
  <c r="AA6" i="1" s="1"/>
  <c r="AA5" i="1"/>
  <c r="AA11" i="1"/>
  <c r="Z5" i="1"/>
  <c r="Z8" i="1"/>
  <c r="Z11" i="1"/>
  <c r="Z14" i="1"/>
  <c r="AD4" i="1"/>
  <c r="Z4" i="1" s="1"/>
  <c r="AD5" i="1"/>
  <c r="Z12" i="1" l="1"/>
  <c r="AA12" i="1"/>
  <c r="AA10" i="1"/>
  <c r="Y10" i="1"/>
  <c r="AA4" i="1"/>
  <c r="Z6" i="1"/>
</calcChain>
</file>

<file path=xl/sharedStrings.xml><?xml version="1.0" encoding="utf-8"?>
<sst xmlns="http://schemas.openxmlformats.org/spreadsheetml/2006/main" count="203" uniqueCount="111">
  <si>
    <t>ingredient_line_number</t>
  </si>
  <si>
    <t>ingredient_original_text</t>
  </si>
  <si>
    <t>qty_value_original</t>
  </si>
  <si>
    <t>qty_min</t>
  </si>
  <si>
    <t>qty_max</t>
  </si>
  <si>
    <t>qty_is_range</t>
  </si>
  <si>
    <t>unit_original</t>
  </si>
  <si>
    <t>unit_enum</t>
  </si>
  <si>
    <t>original_dimension</t>
  </si>
  <si>
    <t>package_size_raw</t>
  </si>
  <si>
    <t>package_size_value</t>
  </si>
  <si>
    <t>package_size_unit</t>
  </si>
  <si>
    <t>package_size_SI_value</t>
  </si>
  <si>
    <t>package_size_SI_unit</t>
  </si>
  <si>
    <t>ingredient_id</t>
  </si>
  <si>
    <t>ingredient_canonical_name</t>
  </si>
  <si>
    <t>resolved_form_id</t>
  </si>
  <si>
    <t>default_form_id</t>
  </si>
  <si>
    <t>canonical_unit</t>
  </si>
  <si>
    <t>bridge_required</t>
  </si>
  <si>
    <t>density_id</t>
  </si>
  <si>
    <t>density_g_per_ml</t>
  </si>
  <si>
    <t>bridge_inputs_ready</t>
  </si>
  <si>
    <t>canonical_qty_min</t>
  </si>
  <si>
    <t>canonical_qty_max</t>
  </si>
  <si>
    <t>canonical_qty</t>
  </si>
  <si>
    <t>conversion_path</t>
  </si>
  <si>
    <t>EXMPL-CHILI-BOWL-001</t>
  </si>
  <si>
    <t>2 eggs</t>
  </si>
  <si>
    <t>2 (14-oz) cans diced tomatoes</t>
  </si>
  <si>
    <t>1 1/2 cups arugula, loosely packed</t>
  </si>
  <si>
    <t>3 tbsp cocoa powder</t>
  </si>
  <si>
    <t>1 cup brown sugar, packed</t>
  </si>
  <si>
    <t>200 g firm tofu</t>
  </si>
  <si>
    <t>1 tbsp ground cumin</t>
  </si>
  <si>
    <t>500 mL vegetable broth</t>
  </si>
  <si>
    <t>1 cup milk</t>
  </si>
  <si>
    <t>100 g olive oil</t>
  </si>
  <si>
    <t>2 tbsp olive oil</t>
  </si>
  <si>
    <t>1 lemon</t>
  </si>
  <si>
    <t>1 cup walnuts, chopped</t>
  </si>
  <si>
    <t>2</t>
  </si>
  <si>
    <t>1</t>
  </si>
  <si>
    <t>3</t>
  </si>
  <si>
    <t>200</t>
  </si>
  <si>
    <t>500</t>
  </si>
  <si>
    <t>100</t>
  </si>
  <si>
    <t>eggs</t>
  </si>
  <si>
    <t>tbsp</t>
  </si>
  <si>
    <t>cup</t>
  </si>
  <si>
    <t>g</t>
  </si>
  <si>
    <t>mL</t>
  </si>
  <si>
    <t>EGG</t>
  </si>
  <si>
    <t>TBSP</t>
  </si>
  <si>
    <t>CUP</t>
  </si>
  <si>
    <t>G</t>
  </si>
  <si>
    <t>ML</t>
  </si>
  <si>
    <t>count</t>
  </si>
  <si>
    <t>volume</t>
  </si>
  <si>
    <t>mass</t>
  </si>
  <si>
    <t>14-oz</t>
  </si>
  <si>
    <t>INGR_00144</t>
  </si>
  <si>
    <t>INGR_00081</t>
  </si>
  <si>
    <t>INGR_00004</t>
  </si>
  <si>
    <t>INGR_00262</t>
  </si>
  <si>
    <t>INGR_00260</t>
  </si>
  <si>
    <t>INGR_00330</t>
  </si>
  <si>
    <t>INGR_00187</t>
  </si>
  <si>
    <t>INGR_00128</t>
  </si>
  <si>
    <t>INGR_00219</t>
  </si>
  <si>
    <t>INGR_00048</t>
  </si>
  <si>
    <t>INGR_00177</t>
  </si>
  <si>
    <t>Eggs</t>
  </si>
  <si>
    <t>Tomato</t>
  </si>
  <si>
    <t>Arugula</t>
  </si>
  <si>
    <t>Cocoa powder</t>
  </si>
  <si>
    <t>Brown sugar</t>
  </si>
  <si>
    <t>Tofu (firm)</t>
  </si>
  <si>
    <t>Cumin</t>
  </si>
  <si>
    <t>Milk</t>
  </si>
  <si>
    <t>Olive oil</t>
  </si>
  <si>
    <t>Lemon</t>
  </si>
  <si>
    <t>Walnuts</t>
  </si>
  <si>
    <t>FORM_WHOLE</t>
  </si>
  <si>
    <t>FORM_POWDER</t>
  </si>
  <si>
    <t>FORM_PACKED</t>
  </si>
  <si>
    <t>FORM_GROUND</t>
  </si>
  <si>
    <t>FORM_LIQUID</t>
  </si>
  <si>
    <t>ea</t>
  </si>
  <si>
    <t>none</t>
  </si>
  <si>
    <t xml:space="preserve">*  </t>
  </si>
  <si>
    <t>cups</t>
  </si>
  <si>
    <t>cans</t>
  </si>
  <si>
    <t>CAN</t>
  </si>
  <si>
    <t>EA</t>
  </si>
  <si>
    <t>INGR_01356</t>
  </si>
  <si>
    <t>Vegetable broth (canned)</t>
  </si>
  <si>
    <t>FORM_CANNED</t>
  </si>
  <si>
    <t xml:space="preserve">vol→mass </t>
  </si>
  <si>
    <t>DENS_00008</t>
  </si>
  <si>
    <t>DENS_00217</t>
  </si>
  <si>
    <t>DENS_00215</t>
  </si>
  <si>
    <t>mass→vol</t>
  </si>
  <si>
    <t>DENS_00929</t>
  </si>
  <si>
    <t>DENS_00930</t>
  </si>
  <si>
    <t xml:space="preserve">Click to see equation used for canonical quantity calculation </t>
  </si>
  <si>
    <t>DENS_00190</t>
  </si>
  <si>
    <t>vol→mass via density</t>
  </si>
  <si>
    <t>mass→mass</t>
  </si>
  <si>
    <t>vol→vol</t>
  </si>
  <si>
    <t>mass→vol via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</si>
</sst>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2" fontId="0" fillId="0" borderId="0" xfId="0" applyNumberFormat="1"/>
    <xf numFmtId="0" fontId="2" fillId="0" borderId="0" xfId="0" applyFont="1"/>
    <xf numFmtId="0" fontId="1" fillId="2" borderId="2" xfId="0" applyFont="1" applyFill="1" applyBorder="1" applyAlignment="1">
      <alignment horizontal="center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workbookViewId="0">
      <selection activeCell="AB24" sqref="AB24"/>
    </sheetView>
  </sheetViews>
  <sheetFormatPr defaultRowHeight="14.4" x14ac:dyDescent="0.3"/>
  <cols>
    <col min="1" max="1" width="26.77734375" customWidth="1"/>
    <col min="2" max="2" width="18.88671875" customWidth="1"/>
    <col min="3" max="3" width="34" customWidth="1"/>
    <col min="4" max="4" width="26.109375" customWidth="1"/>
    <col min="6" max="6" width="8.33203125" bestFit="1" customWidth="1"/>
    <col min="7" max="7" width="28.77734375" customWidth="1"/>
    <col min="8" max="8" width="25.5546875" customWidth="1"/>
    <col min="9" max="9" width="17.5546875" customWidth="1"/>
    <col min="10" max="10" width="20.88671875" customWidth="1"/>
    <col min="11" max="11" width="16.6640625" hidden="1" customWidth="1"/>
    <col min="12" max="12" width="14.88671875" hidden="1" customWidth="1"/>
    <col min="13" max="13" width="16.109375" hidden="1" customWidth="1"/>
    <col min="14" max="14" width="17.5546875" hidden="1" customWidth="1"/>
    <col min="15" max="15" width="8.88671875" hidden="1" customWidth="1"/>
    <col min="16" max="16" width="22.109375" hidden="1" customWidth="1"/>
    <col min="17" max="17" width="25.5546875" hidden="1" customWidth="1"/>
    <col min="18" max="18" width="20.44140625" hidden="1" customWidth="1"/>
    <col min="19" max="19" width="15.109375" hidden="1" customWidth="1"/>
    <col min="20" max="20" width="15.6640625" customWidth="1"/>
    <col min="21" max="21" width="15.109375" customWidth="1"/>
    <col min="22" max="22" width="11.44140625" customWidth="1"/>
    <col min="23" max="23" width="20.5546875" customWidth="1"/>
    <col min="24" max="24" width="20.6640625" customWidth="1"/>
    <col min="25" max="25" width="19.33203125" customWidth="1"/>
    <col min="26" max="26" width="19.77734375" customWidth="1"/>
    <col min="27" max="27" width="14.5546875" customWidth="1"/>
    <col min="28" max="28" width="19.44140625" customWidth="1"/>
    <col min="30" max="30" width="23.77734375" style="5" customWidth="1"/>
  </cols>
  <sheetData>
    <row r="1" spans="1:30" ht="43.2" x14ac:dyDescent="0.3">
      <c r="A1" s="1" t="s">
        <v>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D1" s="4" t="s">
        <v>105</v>
      </c>
    </row>
    <row r="2" spans="1:30" x14ac:dyDescent="0.3">
      <c r="A2" t="s">
        <v>27</v>
      </c>
      <c r="B2">
        <v>1</v>
      </c>
      <c r="C2" t="s">
        <v>28</v>
      </c>
      <c r="D2" t="s">
        <v>41</v>
      </c>
      <c r="E2">
        <v>2</v>
      </c>
      <c r="F2">
        <v>2</v>
      </c>
      <c r="G2" t="b">
        <v>0</v>
      </c>
      <c r="H2" t="s">
        <v>47</v>
      </c>
      <c r="I2" t="s">
        <v>52</v>
      </c>
      <c r="J2" t="s">
        <v>57</v>
      </c>
      <c r="P2" t="s">
        <v>61</v>
      </c>
      <c r="Q2" t="s">
        <v>72</v>
      </c>
      <c r="R2" t="s">
        <v>83</v>
      </c>
      <c r="S2" t="s">
        <v>83</v>
      </c>
      <c r="T2" t="s">
        <v>88</v>
      </c>
      <c r="U2" t="s">
        <v>89</v>
      </c>
      <c r="X2" t="b">
        <v>1</v>
      </c>
      <c r="Y2">
        <v>2</v>
      </c>
      <c r="Z2">
        <v>2</v>
      </c>
      <c r="AA2">
        <v>2</v>
      </c>
      <c r="AB2" t="s">
        <v>57</v>
      </c>
    </row>
    <row r="3" spans="1:30" x14ac:dyDescent="0.3">
      <c r="A3" t="s">
        <v>27</v>
      </c>
      <c r="B3">
        <v>2</v>
      </c>
      <c r="C3" t="s">
        <v>29</v>
      </c>
      <c r="D3" t="s">
        <v>41</v>
      </c>
      <c r="E3">
        <v>2</v>
      </c>
      <c r="F3">
        <v>2</v>
      </c>
      <c r="G3" t="b">
        <v>0</v>
      </c>
      <c r="H3" t="s">
        <v>92</v>
      </c>
      <c r="I3" t="s">
        <v>93</v>
      </c>
      <c r="J3" t="s">
        <v>57</v>
      </c>
      <c r="K3" t="s">
        <v>60</v>
      </c>
      <c r="P3" t="s">
        <v>62</v>
      </c>
      <c r="Q3" t="s">
        <v>73</v>
      </c>
      <c r="R3" t="s">
        <v>83</v>
      </c>
      <c r="S3" t="s">
        <v>83</v>
      </c>
      <c r="T3" t="s">
        <v>88</v>
      </c>
      <c r="U3" t="s">
        <v>89</v>
      </c>
      <c r="X3" t="b">
        <v>1</v>
      </c>
      <c r="Y3">
        <v>2</v>
      </c>
      <c r="Z3">
        <v>2</v>
      </c>
      <c r="AA3">
        <v>2</v>
      </c>
      <c r="AB3" t="s">
        <v>57</v>
      </c>
    </row>
    <row r="4" spans="1:30" x14ac:dyDescent="0.3">
      <c r="A4" t="s">
        <v>27</v>
      </c>
      <c r="B4">
        <v>3</v>
      </c>
      <c r="C4" t="s">
        <v>30</v>
      </c>
      <c r="D4" s="2">
        <v>1.5</v>
      </c>
      <c r="E4" s="2">
        <v>1.5</v>
      </c>
      <c r="F4" s="2">
        <v>1.5</v>
      </c>
      <c r="G4" t="b">
        <v>0</v>
      </c>
      <c r="H4" t="s">
        <v>91</v>
      </c>
      <c r="I4" t="s">
        <v>54</v>
      </c>
      <c r="J4" t="s">
        <v>58</v>
      </c>
      <c r="P4" t="s">
        <v>63</v>
      </c>
      <c r="Q4" t="s">
        <v>74</v>
      </c>
      <c r="R4" t="s">
        <v>83</v>
      </c>
      <c r="S4" t="s">
        <v>83</v>
      </c>
      <c r="T4" t="s">
        <v>50</v>
      </c>
      <c r="U4" t="s">
        <v>98</v>
      </c>
      <c r="V4" t="s">
        <v>99</v>
      </c>
      <c r="W4">
        <v>8.5000000000000006E-2</v>
      </c>
      <c r="X4" t="b">
        <v>1</v>
      </c>
      <c r="Y4">
        <f>AD4</f>
        <v>30.16500015375</v>
      </c>
      <c r="Z4">
        <f>AD4</f>
        <v>30.16500015375</v>
      </c>
      <c r="AA4">
        <f>AD4</f>
        <v>30.16500015375</v>
      </c>
      <c r="AB4" t="s">
        <v>107</v>
      </c>
      <c r="AD4" s="5">
        <f>(1.5*236.5882365)*0.085</f>
        <v>30.16500015375</v>
      </c>
    </row>
    <row r="5" spans="1:30" ht="15.6" x14ac:dyDescent="0.3">
      <c r="A5" t="s">
        <v>27</v>
      </c>
      <c r="B5">
        <v>4</v>
      </c>
      <c r="C5" t="s">
        <v>31</v>
      </c>
      <c r="D5" t="s">
        <v>43</v>
      </c>
      <c r="E5">
        <v>3</v>
      </c>
      <c r="F5">
        <v>3</v>
      </c>
      <c r="G5" t="b">
        <v>0</v>
      </c>
      <c r="H5" t="s">
        <v>48</v>
      </c>
      <c r="I5" t="s">
        <v>53</v>
      </c>
      <c r="J5" t="s">
        <v>58</v>
      </c>
      <c r="P5" t="s">
        <v>64</v>
      </c>
      <c r="Q5" t="s">
        <v>75</v>
      </c>
      <c r="R5" t="s">
        <v>84</v>
      </c>
      <c r="S5" t="s">
        <v>84</v>
      </c>
      <c r="T5" t="s">
        <v>50</v>
      </c>
      <c r="U5" s="3" t="s">
        <v>98</v>
      </c>
      <c r="V5" t="s">
        <v>100</v>
      </c>
      <c r="W5">
        <v>0.35499999999999998</v>
      </c>
      <c r="X5" t="b">
        <v>1</v>
      </c>
      <c r="Y5">
        <f t="shared" ref="Y5:Y14" si="0">AD5</f>
        <v>1.5747899399999996</v>
      </c>
      <c r="Z5">
        <f t="shared" ref="Z5:Z14" si="1">AD5</f>
        <v>1.5747899399999996</v>
      </c>
      <c r="AA5">
        <f t="shared" ref="AA5:AA14" si="2">AD5</f>
        <v>1.5747899399999996</v>
      </c>
      <c r="AB5" t="s">
        <v>107</v>
      </c>
      <c r="AD5" s="5">
        <f>(3*14.78676)*0.0355</f>
        <v>1.5747899399999996</v>
      </c>
    </row>
    <row r="6" spans="1:30" ht="15.6" x14ac:dyDescent="0.3">
      <c r="A6" t="s">
        <v>27</v>
      </c>
      <c r="B6">
        <v>5</v>
      </c>
      <c r="C6" t="s">
        <v>32</v>
      </c>
      <c r="D6" t="s">
        <v>42</v>
      </c>
      <c r="E6">
        <v>1</v>
      </c>
      <c r="F6">
        <v>1</v>
      </c>
      <c r="G6" t="b">
        <v>0</v>
      </c>
      <c r="H6" t="s">
        <v>49</v>
      </c>
      <c r="I6" t="s">
        <v>54</v>
      </c>
      <c r="J6" t="s">
        <v>58</v>
      </c>
      <c r="P6" t="s">
        <v>65</v>
      </c>
      <c r="Q6" t="s">
        <v>76</v>
      </c>
      <c r="R6" t="s">
        <v>84</v>
      </c>
      <c r="S6" t="s">
        <v>84</v>
      </c>
      <c r="T6" t="s">
        <v>50</v>
      </c>
      <c r="U6" s="3" t="s">
        <v>98</v>
      </c>
      <c r="V6" t="s">
        <v>101</v>
      </c>
      <c r="W6">
        <v>0.90029999999999999</v>
      </c>
      <c r="X6" t="b">
        <v>1</v>
      </c>
      <c r="Y6">
        <f t="shared" si="0"/>
        <v>213.00035646000001</v>
      </c>
      <c r="Z6">
        <f t="shared" si="1"/>
        <v>213.00035646000001</v>
      </c>
      <c r="AA6">
        <f t="shared" si="2"/>
        <v>213.00035646000001</v>
      </c>
      <c r="AB6" t="s">
        <v>107</v>
      </c>
      <c r="AD6" s="5">
        <f>(1*236.5882)*0.9003</f>
        <v>213.00035646000001</v>
      </c>
    </row>
    <row r="7" spans="1:30" x14ac:dyDescent="0.3">
      <c r="A7" t="s">
        <v>27</v>
      </c>
      <c r="B7">
        <v>6</v>
      </c>
      <c r="C7" t="s">
        <v>33</v>
      </c>
      <c r="D7" t="s">
        <v>44</v>
      </c>
      <c r="E7">
        <v>200</v>
      </c>
      <c r="F7">
        <v>200</v>
      </c>
      <c r="G7" t="b">
        <v>0</v>
      </c>
      <c r="H7" t="s">
        <v>50</v>
      </c>
      <c r="I7" t="s">
        <v>55</v>
      </c>
      <c r="J7" t="s">
        <v>59</v>
      </c>
      <c r="P7" t="s">
        <v>66</v>
      </c>
      <c r="Q7" t="s">
        <v>77</v>
      </c>
      <c r="R7" t="s">
        <v>85</v>
      </c>
      <c r="S7" t="s">
        <v>85</v>
      </c>
      <c r="T7" t="s">
        <v>50</v>
      </c>
      <c r="U7" t="s">
        <v>89</v>
      </c>
      <c r="X7" t="b">
        <v>1</v>
      </c>
      <c r="Y7">
        <v>200</v>
      </c>
      <c r="Z7">
        <v>200</v>
      </c>
      <c r="AA7">
        <v>200</v>
      </c>
      <c r="AB7" t="s">
        <v>108</v>
      </c>
    </row>
    <row r="8" spans="1:30" ht="15.6" x14ac:dyDescent="0.3">
      <c r="A8" t="s">
        <v>27</v>
      </c>
      <c r="B8">
        <v>7</v>
      </c>
      <c r="C8" t="s">
        <v>34</v>
      </c>
      <c r="D8" t="s">
        <v>42</v>
      </c>
      <c r="E8">
        <v>1</v>
      </c>
      <c r="F8">
        <v>1</v>
      </c>
      <c r="G8" t="b">
        <v>0</v>
      </c>
      <c r="H8" t="s">
        <v>48</v>
      </c>
      <c r="I8" t="s">
        <v>53</v>
      </c>
      <c r="J8" t="s">
        <v>58</v>
      </c>
      <c r="P8" t="s">
        <v>67</v>
      </c>
      <c r="Q8" t="s">
        <v>78</v>
      </c>
      <c r="R8" t="s">
        <v>86</v>
      </c>
      <c r="S8" t="s">
        <v>86</v>
      </c>
      <c r="T8" t="s">
        <v>50</v>
      </c>
      <c r="U8" s="3" t="s">
        <v>98</v>
      </c>
      <c r="V8" t="s">
        <v>103</v>
      </c>
      <c r="W8">
        <v>0.33</v>
      </c>
      <c r="X8" t="b">
        <v>1</v>
      </c>
      <c r="Y8">
        <f t="shared" si="0"/>
        <v>4.8796308000000002</v>
      </c>
      <c r="Z8">
        <f t="shared" si="1"/>
        <v>4.8796308000000002</v>
      </c>
      <c r="AA8">
        <f t="shared" si="2"/>
        <v>4.8796308000000002</v>
      </c>
      <c r="AB8" t="s">
        <v>107</v>
      </c>
      <c r="AD8" s="5">
        <f>(1*14.78676)*0.33</f>
        <v>4.8796308000000002</v>
      </c>
    </row>
    <row r="9" spans="1:30" x14ac:dyDescent="0.3">
      <c r="A9" t="s">
        <v>27</v>
      </c>
      <c r="B9">
        <v>8</v>
      </c>
      <c r="C9" t="s">
        <v>35</v>
      </c>
      <c r="D9" t="s">
        <v>45</v>
      </c>
      <c r="E9">
        <v>500</v>
      </c>
      <c r="F9">
        <v>500</v>
      </c>
      <c r="G9" t="b">
        <v>0</v>
      </c>
      <c r="H9" t="s">
        <v>51</v>
      </c>
      <c r="I9" t="s">
        <v>56</v>
      </c>
      <c r="J9" t="s">
        <v>58</v>
      </c>
      <c r="P9" t="s">
        <v>95</v>
      </c>
      <c r="Q9" t="s">
        <v>96</v>
      </c>
      <c r="R9" t="s">
        <v>97</v>
      </c>
      <c r="S9" t="s">
        <v>97</v>
      </c>
      <c r="T9" t="s">
        <v>51</v>
      </c>
      <c r="U9" t="s">
        <v>89</v>
      </c>
      <c r="X9" t="b">
        <v>1</v>
      </c>
      <c r="Y9">
        <v>500</v>
      </c>
      <c r="Z9">
        <v>500</v>
      </c>
      <c r="AA9">
        <v>500</v>
      </c>
      <c r="AB9" t="s">
        <v>108</v>
      </c>
    </row>
    <row r="10" spans="1:30" x14ac:dyDescent="0.3">
      <c r="A10" t="s">
        <v>27</v>
      </c>
      <c r="B10">
        <v>9</v>
      </c>
      <c r="C10" t="s">
        <v>36</v>
      </c>
      <c r="D10" t="s">
        <v>42</v>
      </c>
      <c r="E10">
        <v>1</v>
      </c>
      <c r="F10">
        <v>1</v>
      </c>
      <c r="G10" t="b">
        <v>0</v>
      </c>
      <c r="H10" t="s">
        <v>49</v>
      </c>
      <c r="I10" t="s">
        <v>54</v>
      </c>
      <c r="J10" t="s">
        <v>58</v>
      </c>
      <c r="P10" t="s">
        <v>68</v>
      </c>
      <c r="Q10" t="s">
        <v>79</v>
      </c>
      <c r="R10" t="s">
        <v>87</v>
      </c>
      <c r="S10" t="s">
        <v>87</v>
      </c>
      <c r="T10" t="s">
        <v>51</v>
      </c>
      <c r="U10" t="s">
        <v>89</v>
      </c>
      <c r="X10" t="b">
        <v>1</v>
      </c>
      <c r="Y10">
        <f t="shared" si="0"/>
        <v>236.58823649999999</v>
      </c>
      <c r="Z10">
        <f t="shared" si="1"/>
        <v>236.58823649999999</v>
      </c>
      <c r="AA10">
        <f t="shared" si="2"/>
        <v>236.58823649999999</v>
      </c>
      <c r="AB10" t="s">
        <v>109</v>
      </c>
      <c r="AD10" s="5">
        <f>1*236.5882365</f>
        <v>236.58823649999999</v>
      </c>
    </row>
    <row r="11" spans="1:30" x14ac:dyDescent="0.3">
      <c r="A11" t="s">
        <v>27</v>
      </c>
      <c r="B11">
        <v>10</v>
      </c>
      <c r="C11" t="s">
        <v>37</v>
      </c>
      <c r="D11" t="s">
        <v>46</v>
      </c>
      <c r="E11">
        <v>100</v>
      </c>
      <c r="F11">
        <v>100</v>
      </c>
      <c r="G11" t="b">
        <v>0</v>
      </c>
      <c r="H11" t="s">
        <v>50</v>
      </c>
      <c r="I11" t="s">
        <v>55</v>
      </c>
      <c r="J11" t="s">
        <v>59</v>
      </c>
      <c r="P11" t="s">
        <v>69</v>
      </c>
      <c r="Q11" t="s">
        <v>80</v>
      </c>
      <c r="R11" t="s">
        <v>87</v>
      </c>
      <c r="S11" t="s">
        <v>87</v>
      </c>
      <c r="T11" t="s">
        <v>51</v>
      </c>
      <c r="U11" t="s">
        <v>102</v>
      </c>
      <c r="V11" t="s">
        <v>104</v>
      </c>
      <c r="W11">
        <v>0.91700000000000004</v>
      </c>
      <c r="X11" t="b">
        <v>1</v>
      </c>
      <c r="Y11">
        <f t="shared" si="0"/>
        <v>109.05125408942203</v>
      </c>
      <c r="Z11">
        <f t="shared" si="1"/>
        <v>109.05125408942203</v>
      </c>
      <c r="AA11">
        <f t="shared" si="2"/>
        <v>109.05125408942203</v>
      </c>
      <c r="AB11" t="s">
        <v>110</v>
      </c>
      <c r="AD11" s="5">
        <f>100/0.917</f>
        <v>109.05125408942203</v>
      </c>
    </row>
    <row r="12" spans="1:30" x14ac:dyDescent="0.3">
      <c r="A12" t="s">
        <v>27</v>
      </c>
      <c r="B12">
        <v>11</v>
      </c>
      <c r="C12" t="s">
        <v>38</v>
      </c>
      <c r="D12" t="s">
        <v>41</v>
      </c>
      <c r="E12">
        <v>2</v>
      </c>
      <c r="F12">
        <v>2</v>
      </c>
      <c r="G12" t="b">
        <v>0</v>
      </c>
      <c r="H12" t="s">
        <v>48</v>
      </c>
      <c r="I12" t="s">
        <v>53</v>
      </c>
      <c r="J12" t="s">
        <v>58</v>
      </c>
      <c r="P12" t="s">
        <v>69</v>
      </c>
      <c r="Q12" t="s">
        <v>80</v>
      </c>
      <c r="R12" t="s">
        <v>87</v>
      </c>
      <c r="S12" t="s">
        <v>87</v>
      </c>
      <c r="T12" t="s">
        <v>51</v>
      </c>
      <c r="U12" t="s">
        <v>89</v>
      </c>
      <c r="X12" t="b">
        <v>1</v>
      </c>
      <c r="Y12">
        <f t="shared" si="0"/>
        <v>29.573529562499999</v>
      </c>
      <c r="Z12">
        <f t="shared" si="1"/>
        <v>29.573529562499999</v>
      </c>
      <c r="AA12">
        <f t="shared" si="2"/>
        <v>29.573529562499999</v>
      </c>
      <c r="AB12" t="s">
        <v>109</v>
      </c>
      <c r="AD12" s="5">
        <f>2*14.78676478125</f>
        <v>29.573529562499999</v>
      </c>
    </row>
    <row r="13" spans="1:30" x14ac:dyDescent="0.3">
      <c r="A13" t="s">
        <v>27</v>
      </c>
      <c r="B13">
        <v>12</v>
      </c>
      <c r="C13" t="s">
        <v>39</v>
      </c>
      <c r="D13" t="s">
        <v>42</v>
      </c>
      <c r="E13">
        <v>1</v>
      </c>
      <c r="F13">
        <v>1</v>
      </c>
      <c r="G13" t="b">
        <v>0</v>
      </c>
      <c r="I13" t="s">
        <v>94</v>
      </c>
      <c r="J13" t="s">
        <v>57</v>
      </c>
      <c r="P13" t="s">
        <v>70</v>
      </c>
      <c r="Q13" t="s">
        <v>81</v>
      </c>
      <c r="R13" t="s">
        <v>83</v>
      </c>
      <c r="S13" t="s">
        <v>83</v>
      </c>
      <c r="T13" t="s">
        <v>88</v>
      </c>
      <c r="U13" t="s">
        <v>89</v>
      </c>
      <c r="X13" t="b">
        <v>1</v>
      </c>
      <c r="Y13">
        <v>1</v>
      </c>
      <c r="Z13">
        <v>1</v>
      </c>
      <c r="AA13">
        <v>1</v>
      </c>
      <c r="AB13" t="s">
        <v>57</v>
      </c>
    </row>
    <row r="14" spans="1:30" ht="15.6" x14ac:dyDescent="0.3">
      <c r="A14" t="s">
        <v>27</v>
      </c>
      <c r="B14">
        <v>13</v>
      </c>
      <c r="C14" t="s">
        <v>40</v>
      </c>
      <c r="D14" t="s">
        <v>42</v>
      </c>
      <c r="E14">
        <v>1</v>
      </c>
      <c r="F14">
        <v>1</v>
      </c>
      <c r="G14" t="b">
        <v>0</v>
      </c>
      <c r="H14" t="s">
        <v>49</v>
      </c>
      <c r="I14" t="s">
        <v>54</v>
      </c>
      <c r="J14" t="s">
        <v>58</v>
      </c>
      <c r="P14" t="s">
        <v>71</v>
      </c>
      <c r="Q14" t="s">
        <v>82</v>
      </c>
      <c r="R14" t="s">
        <v>83</v>
      </c>
      <c r="S14" t="s">
        <v>83</v>
      </c>
      <c r="T14" t="s">
        <v>50</v>
      </c>
      <c r="U14" s="3" t="s">
        <v>98</v>
      </c>
      <c r="V14" t="s">
        <v>106</v>
      </c>
      <c r="W14">
        <v>0.4945</v>
      </c>
      <c r="X14" t="b">
        <v>1</v>
      </c>
      <c r="Y14">
        <f t="shared" si="0"/>
        <v>116.9928649</v>
      </c>
      <c r="Z14">
        <f t="shared" si="1"/>
        <v>116.9928649</v>
      </c>
      <c r="AA14">
        <f t="shared" si="2"/>
        <v>116.9928649</v>
      </c>
      <c r="AB14" t="s">
        <v>107</v>
      </c>
      <c r="AD14" s="5">
        <f>(1*236.5882)*0.4945</f>
        <v>116.9928649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897C5F-3F25-4C50-8051-A6292B271CF8}"/>
</file>

<file path=customXml/itemProps2.xml><?xml version="1.0" encoding="utf-8"?>
<ds:datastoreItem xmlns:ds="http://schemas.openxmlformats.org/officeDocument/2006/customXml" ds:itemID="{B6E30BD0-6A9D-4CC3-9080-CFFB22F2A55D}"/>
</file>

<file path=customXml/itemProps3.xml><?xml version="1.0" encoding="utf-8"?>
<ds:datastoreItem xmlns:ds="http://schemas.openxmlformats.org/officeDocument/2006/customXml" ds:itemID="{FFF55C21-8B5C-4657-A91A-8DBB888C5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Stage2_Output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Richard Wilson</cp:lastModifiedBy>
  <dcterms:created xsi:type="dcterms:W3CDTF">2025-11-26T19:09:27Z</dcterms:created>
  <dcterms:modified xsi:type="dcterms:W3CDTF">2025-11-26T20:06:41Z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</Properties>
</file>